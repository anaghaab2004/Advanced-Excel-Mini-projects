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OneDrive\Desktop\Data Analytics\"/>
    </mc:Choice>
  </mc:AlternateContent>
  <xr:revisionPtr revIDLastSave="0" documentId="13_ncr:1_{79CC6939-3B81-4F54-9F40-7429D07ECA87}" xr6:coauthVersionLast="47" xr6:coauthVersionMax="47" xr10:uidLastSave="{00000000-0000-0000-0000-000000000000}"/>
  <bookViews>
    <workbookView xWindow="-108" yWindow="-108" windowWidth="23256" windowHeight="12456" firstSheet="4" activeTab="5" xr2:uid="{A8F67C7C-EC0D-4B49-883A-79B33F965F54}"/>
  </bookViews>
  <sheets>
    <sheet name="questions" sheetId="1" r:id="rId1"/>
    <sheet name="Attendance_trend" sheetId="13" r:id="rId2"/>
    <sheet name="KPI" sheetId="6" r:id="rId3"/>
    <sheet name="performance distribution" sheetId="5" r:id="rId4"/>
    <sheet name="Absenteesm" sheetId="14" r:id="rId5"/>
    <sheet name="Employee Performance and Attend" sheetId="2" r:id="rId6"/>
    <sheet name="individual performance" sheetId="12" r:id="rId7"/>
    <sheet name="top10" sheetId="7" r:id="rId8"/>
    <sheet name="underperformer" sheetId="8" r:id="rId9"/>
    <sheet name="Department Performance" sheetId="3" r:id="rId10"/>
    <sheet name="Dashboard" sheetId="11" r:id="rId11"/>
    <sheet name="Department Attendance" sheetId="4" r:id="rId12"/>
  </sheets>
  <definedNames>
    <definedName name="_xlnm._FilterDatabase" localSheetId="5" hidden="1">'Employee Performance and Attend'!$A$1:$J$101</definedName>
    <definedName name="_xlchart.v1.0" hidden="1">'Employee Performance and Attend'!$G$2:$G$101</definedName>
    <definedName name="_xlchart.v1.1" hidden="1">'Employee Performance and Attend'!$G$2:$G$101</definedName>
    <definedName name="Slicer_Attendance_Category">#N/A</definedName>
    <definedName name="Slicer_Department">#N/A</definedName>
    <definedName name="Slicer_Performance_Category">#N/A</definedName>
  </definedNames>
  <calcPr calcId="191029"/>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B5" i="13"/>
  <c r="B4" i="13"/>
  <c r="B3" i="13"/>
  <c r="B2" i="13"/>
  <c r="B6" i="13"/>
  <c r="I29" i="2"/>
  <c r="D2" i="6"/>
  <c r="G2" i="2"/>
  <c r="I2" i="2" s="1"/>
  <c r="H7" i="2"/>
  <c r="J7" i="2" s="1"/>
  <c r="H16" i="2"/>
  <c r="J16" i="2" s="1"/>
  <c r="G16" i="2"/>
  <c r="I16" i="2" s="1"/>
  <c r="H3" i="2"/>
  <c r="J3" i="2" s="1"/>
  <c r="H4" i="2"/>
  <c r="J4" i="2" s="1"/>
  <c r="H5" i="2"/>
  <c r="J5" i="2" s="1"/>
  <c r="H6" i="2"/>
  <c r="J6" i="2" s="1"/>
  <c r="H8" i="2"/>
  <c r="J8" i="2" s="1"/>
  <c r="H9" i="2"/>
  <c r="J9" i="2" s="1"/>
  <c r="H10" i="2"/>
  <c r="J10" i="2" s="1"/>
  <c r="H11" i="2"/>
  <c r="J11" i="2" s="1"/>
  <c r="H12" i="2"/>
  <c r="J12" i="2" s="1"/>
  <c r="H13" i="2"/>
  <c r="J13" i="2" s="1"/>
  <c r="H14" i="2"/>
  <c r="J14" i="2" s="1"/>
  <c r="H15" i="2"/>
  <c r="J15" i="2" s="1"/>
  <c r="H17" i="2"/>
  <c r="J17" i="2" s="1"/>
  <c r="H18" i="2"/>
  <c r="J18" i="2" s="1"/>
  <c r="H19" i="2"/>
  <c r="J19" i="2" s="1"/>
  <c r="H20" i="2"/>
  <c r="J20" i="2" s="1"/>
  <c r="H21" i="2"/>
  <c r="J21" i="2" s="1"/>
  <c r="H22" i="2"/>
  <c r="J22" i="2" s="1"/>
  <c r="H23" i="2"/>
  <c r="J23" i="2" s="1"/>
  <c r="H24" i="2"/>
  <c r="J24" i="2" s="1"/>
  <c r="H25" i="2"/>
  <c r="J25" i="2" s="1"/>
  <c r="H26" i="2"/>
  <c r="J26" i="2" s="1"/>
  <c r="H27" i="2"/>
  <c r="J27" i="2" s="1"/>
  <c r="H28" i="2"/>
  <c r="J28" i="2" s="1"/>
  <c r="H29" i="2"/>
  <c r="J29" i="2" s="1"/>
  <c r="H30" i="2"/>
  <c r="J30" i="2" s="1"/>
  <c r="H31" i="2"/>
  <c r="J31" i="2" s="1"/>
  <c r="H32" i="2"/>
  <c r="J32" i="2" s="1"/>
  <c r="H33" i="2"/>
  <c r="J33" i="2" s="1"/>
  <c r="H34" i="2"/>
  <c r="J34" i="2" s="1"/>
  <c r="H35" i="2"/>
  <c r="J35" i="2" s="1"/>
  <c r="H36" i="2"/>
  <c r="J36" i="2" s="1"/>
  <c r="H37" i="2"/>
  <c r="J37" i="2" s="1"/>
  <c r="H38" i="2"/>
  <c r="J38" i="2" s="1"/>
  <c r="H39" i="2"/>
  <c r="J39" i="2" s="1"/>
  <c r="H40" i="2"/>
  <c r="J40" i="2" s="1"/>
  <c r="B4" i="6" s="1"/>
  <c r="H41" i="2"/>
  <c r="J41" i="2" s="1"/>
  <c r="H42" i="2"/>
  <c r="J42" i="2" s="1"/>
  <c r="H43" i="2"/>
  <c r="J43" i="2" s="1"/>
  <c r="H44" i="2"/>
  <c r="J44" i="2" s="1"/>
  <c r="H45" i="2"/>
  <c r="J45" i="2" s="1"/>
  <c r="H46" i="2"/>
  <c r="J46" i="2" s="1"/>
  <c r="H47" i="2"/>
  <c r="J47" i="2" s="1"/>
  <c r="H48" i="2"/>
  <c r="J48" i="2" s="1"/>
  <c r="H49" i="2"/>
  <c r="J49" i="2" s="1"/>
  <c r="H50" i="2"/>
  <c r="J50" i="2" s="1"/>
  <c r="H51" i="2"/>
  <c r="J51" i="2" s="1"/>
  <c r="H52" i="2"/>
  <c r="J52" i="2" s="1"/>
  <c r="H53" i="2"/>
  <c r="J53" i="2" s="1"/>
  <c r="H54" i="2"/>
  <c r="J54" i="2" s="1"/>
  <c r="H55" i="2"/>
  <c r="J55" i="2" s="1"/>
  <c r="H56" i="2"/>
  <c r="J56" i="2" s="1"/>
  <c r="H57" i="2"/>
  <c r="J57" i="2" s="1"/>
  <c r="H58" i="2"/>
  <c r="J58" i="2" s="1"/>
  <c r="H59" i="2"/>
  <c r="J59" i="2" s="1"/>
  <c r="H60" i="2"/>
  <c r="J60" i="2" s="1"/>
  <c r="H61" i="2"/>
  <c r="J61" i="2" s="1"/>
  <c r="H62" i="2"/>
  <c r="J62" i="2" s="1"/>
  <c r="H63" i="2"/>
  <c r="J63" i="2" s="1"/>
  <c r="H64" i="2"/>
  <c r="J64" i="2" s="1"/>
  <c r="H65" i="2"/>
  <c r="J65" i="2" s="1"/>
  <c r="H66" i="2"/>
  <c r="J66" i="2" s="1"/>
  <c r="H67" i="2"/>
  <c r="J67" i="2" s="1"/>
  <c r="H68" i="2"/>
  <c r="J68" i="2" s="1"/>
  <c r="H69" i="2"/>
  <c r="J69" i="2" s="1"/>
  <c r="H70" i="2"/>
  <c r="J70" i="2" s="1"/>
  <c r="H71" i="2"/>
  <c r="J71" i="2" s="1"/>
  <c r="H72" i="2"/>
  <c r="J72" i="2" s="1"/>
  <c r="H73" i="2"/>
  <c r="J73" i="2" s="1"/>
  <c r="H74" i="2"/>
  <c r="J74" i="2" s="1"/>
  <c r="H75" i="2"/>
  <c r="J75" i="2" s="1"/>
  <c r="H76" i="2"/>
  <c r="J76" i="2" s="1"/>
  <c r="H77" i="2"/>
  <c r="J77" i="2" s="1"/>
  <c r="H78" i="2"/>
  <c r="J78" i="2" s="1"/>
  <c r="H79" i="2"/>
  <c r="J79" i="2" s="1"/>
  <c r="H80" i="2"/>
  <c r="J80" i="2" s="1"/>
  <c r="H81" i="2"/>
  <c r="J81" i="2" s="1"/>
  <c r="H82" i="2"/>
  <c r="J82" i="2" s="1"/>
  <c r="H83" i="2"/>
  <c r="J83" i="2" s="1"/>
  <c r="H84" i="2"/>
  <c r="J84" i="2" s="1"/>
  <c r="H85" i="2"/>
  <c r="J85" i="2" s="1"/>
  <c r="H86" i="2"/>
  <c r="J86" i="2" s="1"/>
  <c r="H87" i="2"/>
  <c r="J87" i="2" s="1"/>
  <c r="H88" i="2"/>
  <c r="J88" i="2" s="1"/>
  <c r="H89" i="2"/>
  <c r="J89" i="2" s="1"/>
  <c r="H90" i="2"/>
  <c r="J90" i="2" s="1"/>
  <c r="H91" i="2"/>
  <c r="J91" i="2" s="1"/>
  <c r="H92" i="2"/>
  <c r="J92" i="2" s="1"/>
  <c r="H93" i="2"/>
  <c r="J93" i="2" s="1"/>
  <c r="H94" i="2"/>
  <c r="J94" i="2" s="1"/>
  <c r="H95" i="2"/>
  <c r="J95" i="2" s="1"/>
  <c r="H96" i="2"/>
  <c r="J96" i="2" s="1"/>
  <c r="H97" i="2"/>
  <c r="J97" i="2" s="1"/>
  <c r="H98" i="2"/>
  <c r="J98" i="2" s="1"/>
  <c r="H99" i="2"/>
  <c r="J99" i="2" s="1"/>
  <c r="H100" i="2"/>
  <c r="J100" i="2" s="1"/>
  <c r="H101" i="2"/>
  <c r="J101" i="2" s="1"/>
  <c r="H2" i="2"/>
  <c r="J2" i="2" s="1"/>
  <c r="G3" i="2"/>
  <c r="I3" i="2" s="1"/>
  <c r="G4" i="2"/>
  <c r="I4" i="2" s="1"/>
  <c r="G5" i="2"/>
  <c r="I5" i="2" s="1"/>
  <c r="G6" i="2"/>
  <c r="I6" i="2" s="1"/>
  <c r="G7" i="2"/>
  <c r="I7" i="2" s="1"/>
  <c r="G8" i="2"/>
  <c r="I8" i="2" s="1"/>
  <c r="G9" i="2"/>
  <c r="I9" i="2" s="1"/>
  <c r="G10" i="2"/>
  <c r="I10" i="2" s="1"/>
  <c r="G11" i="2"/>
  <c r="I11" i="2" s="1"/>
  <c r="G12" i="2"/>
  <c r="I12" i="2" s="1"/>
  <c r="G13" i="2"/>
  <c r="I13" i="2" s="1"/>
  <c r="G14" i="2"/>
  <c r="I14" i="2" s="1"/>
  <c r="G15" i="2"/>
  <c r="I15" i="2" s="1"/>
  <c r="G17" i="2"/>
  <c r="I17" i="2" s="1"/>
  <c r="G18" i="2"/>
  <c r="I18" i="2" s="1"/>
  <c r="G19" i="2"/>
  <c r="I19" i="2" s="1"/>
  <c r="G20" i="2"/>
  <c r="I20" i="2" s="1"/>
  <c r="G21" i="2"/>
  <c r="I21" i="2" s="1"/>
  <c r="G22" i="2"/>
  <c r="I22" i="2" s="1"/>
  <c r="G23" i="2"/>
  <c r="I23" i="2" s="1"/>
  <c r="G24" i="2"/>
  <c r="I24" i="2" s="1"/>
  <c r="G25" i="2"/>
  <c r="I25" i="2" s="1"/>
  <c r="G26" i="2"/>
  <c r="I26" i="2" s="1"/>
  <c r="G27" i="2"/>
  <c r="I27" i="2" s="1"/>
  <c r="G28" i="2"/>
  <c r="I28" i="2" s="1"/>
  <c r="G29" i="2"/>
  <c r="G30" i="2"/>
  <c r="I30" i="2" s="1"/>
  <c r="G31" i="2"/>
  <c r="I31" i="2" s="1"/>
  <c r="G32" i="2"/>
  <c r="I32" i="2" s="1"/>
  <c r="G33" i="2"/>
  <c r="I33" i="2" s="1"/>
  <c r="G34" i="2"/>
  <c r="I34" i="2" s="1"/>
  <c r="G35" i="2"/>
  <c r="I35" i="2" s="1"/>
  <c r="G36" i="2"/>
  <c r="I36" i="2" s="1"/>
  <c r="G37" i="2"/>
  <c r="I37" i="2" s="1"/>
  <c r="G38" i="2"/>
  <c r="I38" i="2" s="1"/>
  <c r="G39" i="2"/>
  <c r="I39" i="2" s="1"/>
  <c r="G40" i="2"/>
  <c r="I40" i="2" s="1"/>
  <c r="G41" i="2"/>
  <c r="I41" i="2" s="1"/>
  <c r="G42" i="2"/>
  <c r="I42" i="2" s="1"/>
  <c r="G43" i="2"/>
  <c r="I43" i="2" s="1"/>
  <c r="G44" i="2"/>
  <c r="I44" i="2" s="1"/>
  <c r="G45" i="2"/>
  <c r="I45" i="2" s="1"/>
  <c r="G46" i="2"/>
  <c r="I46" i="2" s="1"/>
  <c r="G47" i="2"/>
  <c r="I47" i="2" s="1"/>
  <c r="G48" i="2"/>
  <c r="I48" i="2" s="1"/>
  <c r="G49" i="2"/>
  <c r="I49" i="2" s="1"/>
  <c r="G50" i="2"/>
  <c r="I50" i="2" s="1"/>
  <c r="G51" i="2"/>
  <c r="I51" i="2" s="1"/>
  <c r="G52" i="2"/>
  <c r="I52" i="2" s="1"/>
  <c r="G53" i="2"/>
  <c r="I53" i="2" s="1"/>
  <c r="G54" i="2"/>
  <c r="I54" i="2" s="1"/>
  <c r="G55" i="2"/>
  <c r="I55" i="2" s="1"/>
  <c r="G56" i="2"/>
  <c r="I56" i="2" s="1"/>
  <c r="G57" i="2"/>
  <c r="I57" i="2" s="1"/>
  <c r="G58" i="2"/>
  <c r="I58" i="2" s="1"/>
  <c r="G59" i="2"/>
  <c r="I59" i="2" s="1"/>
  <c r="G60" i="2"/>
  <c r="I60" i="2" s="1"/>
  <c r="G61" i="2"/>
  <c r="I61" i="2" s="1"/>
  <c r="G62" i="2"/>
  <c r="I62" i="2" s="1"/>
  <c r="G63" i="2"/>
  <c r="I63" i="2" s="1"/>
  <c r="G64" i="2"/>
  <c r="I64" i="2" s="1"/>
  <c r="G65" i="2"/>
  <c r="I65" i="2" s="1"/>
  <c r="G66" i="2"/>
  <c r="I66" i="2" s="1"/>
  <c r="G67" i="2"/>
  <c r="I67" i="2" s="1"/>
  <c r="G68" i="2"/>
  <c r="I68" i="2" s="1"/>
  <c r="G69" i="2"/>
  <c r="I69" i="2" s="1"/>
  <c r="G70" i="2"/>
  <c r="I70" i="2" s="1"/>
  <c r="G71" i="2"/>
  <c r="I71" i="2" s="1"/>
  <c r="G72" i="2"/>
  <c r="I72" i="2" s="1"/>
  <c r="G73" i="2"/>
  <c r="I73" i="2" s="1"/>
  <c r="G74" i="2"/>
  <c r="I74" i="2" s="1"/>
  <c r="G75" i="2"/>
  <c r="I75" i="2" s="1"/>
  <c r="G76" i="2"/>
  <c r="I76" i="2" s="1"/>
  <c r="G77" i="2"/>
  <c r="I77" i="2" s="1"/>
  <c r="G78" i="2"/>
  <c r="I78" i="2" s="1"/>
  <c r="G79" i="2"/>
  <c r="I79" i="2" s="1"/>
  <c r="G80" i="2"/>
  <c r="I80" i="2" s="1"/>
  <c r="G81" i="2"/>
  <c r="I81" i="2" s="1"/>
  <c r="G82" i="2"/>
  <c r="I82" i="2" s="1"/>
  <c r="G83" i="2"/>
  <c r="I83" i="2" s="1"/>
  <c r="G84" i="2"/>
  <c r="I84" i="2" s="1"/>
  <c r="G85" i="2"/>
  <c r="I85" i="2" s="1"/>
  <c r="G86" i="2"/>
  <c r="I86" i="2" s="1"/>
  <c r="G87" i="2"/>
  <c r="I87" i="2" s="1"/>
  <c r="G88" i="2"/>
  <c r="I88" i="2" s="1"/>
  <c r="G89" i="2"/>
  <c r="I89" i="2" s="1"/>
  <c r="G90" i="2"/>
  <c r="I90" i="2" s="1"/>
  <c r="G91" i="2"/>
  <c r="I91" i="2" s="1"/>
  <c r="G92" i="2"/>
  <c r="I92" i="2" s="1"/>
  <c r="G93" i="2"/>
  <c r="I93" i="2" s="1"/>
  <c r="G94" i="2"/>
  <c r="I94" i="2" s="1"/>
  <c r="G95" i="2"/>
  <c r="I95" i="2" s="1"/>
  <c r="G96" i="2"/>
  <c r="I96" i="2" s="1"/>
  <c r="G97" i="2"/>
  <c r="I97" i="2" s="1"/>
  <c r="G98" i="2"/>
  <c r="I98" i="2" s="1"/>
  <c r="G99" i="2"/>
  <c r="I99" i="2" s="1"/>
  <c r="G100" i="2"/>
  <c r="I100" i="2" s="1"/>
  <c r="G101" i="2"/>
  <c r="I101" i="2" s="1"/>
  <c r="B5" i="6"/>
  <c r="C2" i="6" l="1"/>
  <c r="E2" i="6" s="1"/>
  <c r="B1" i="6"/>
</calcChain>
</file>

<file path=xl/sharedStrings.xml><?xml version="1.0" encoding="utf-8"?>
<sst xmlns="http://schemas.openxmlformats.org/spreadsheetml/2006/main" count="650" uniqueCount="331">
  <si>
    <t xml:space="preserve"> Employee Performance &amp; Attendance Report</t>
  </si>
  <si>
    <t>Objective: Create a report tracking attendance and performance KPIs.</t>
  </si>
  <si>
    <r>
      <rPr>
        <b/>
        <sz val="11"/>
        <color rgb="FF000000"/>
        <rFont val="Calibri"/>
      </rPr>
      <t xml:space="preserve">Dataset: Fields like </t>
    </r>
    <r>
      <rPr>
        <b/>
        <sz val="11"/>
        <color theme="1"/>
        <rFont val="Calibri"/>
      </rPr>
      <t>Employee ID</t>
    </r>
    <r>
      <rPr>
        <b/>
        <sz val="11"/>
        <color rgb="FF000000"/>
        <rFont val="Calibri"/>
      </rPr>
      <t xml:space="preserve">, </t>
    </r>
    <r>
      <rPr>
        <b/>
        <sz val="11"/>
        <color theme="1"/>
        <rFont val="Calibri"/>
      </rPr>
      <t>Name</t>
    </r>
    <r>
      <rPr>
        <b/>
        <sz val="11"/>
        <color rgb="FF000000"/>
        <rFont val="Calibri"/>
      </rPr>
      <t xml:space="preserve">, </t>
    </r>
    <r>
      <rPr>
        <b/>
        <sz val="11"/>
        <color theme="1"/>
        <rFont val="Calibri"/>
      </rPr>
      <t>Department</t>
    </r>
    <r>
      <rPr>
        <b/>
        <sz val="11"/>
        <color rgb="FF000000"/>
        <rFont val="Calibri"/>
      </rPr>
      <t xml:space="preserve">, </t>
    </r>
    <r>
      <rPr>
        <b/>
        <sz val="11"/>
        <color theme="1"/>
        <rFont val="Calibri"/>
      </rPr>
      <t>Monthly Attendance</t>
    </r>
    <r>
      <rPr>
        <b/>
        <sz val="11"/>
        <color rgb="FF000000"/>
        <rFont val="Calibri"/>
      </rPr>
      <t xml:space="preserve">, </t>
    </r>
    <r>
      <rPr>
        <b/>
        <sz val="11"/>
        <color theme="1"/>
        <rFont val="Calibri"/>
      </rPr>
      <t>Monthly Targets</t>
    </r>
    <r>
      <rPr>
        <b/>
        <sz val="11"/>
        <color rgb="FF000000"/>
        <rFont val="Calibri"/>
      </rPr>
      <t xml:space="preserve">, </t>
    </r>
    <r>
      <rPr>
        <b/>
        <sz val="11"/>
        <color theme="1"/>
        <rFont val="Calibri"/>
      </rPr>
      <t>Actual Performance</t>
    </r>
    <r>
      <rPr>
        <b/>
        <sz val="11"/>
        <color rgb="FF000000"/>
        <rFont val="Calibri"/>
      </rPr>
      <t>.</t>
    </r>
  </si>
  <si>
    <t>Tasks:</t>
  </si>
  <si>
    <t>Employee Performance &amp; Attendance Report Dashboard</t>
  </si>
  <si>
    <t>Dashboard Components &amp; Tasks</t>
  </si>
  <si>
    <t>1. Executive HR KPIs Dashboard</t>
  </si>
  <si>
    <t>Task: Create a comprehensive KPI summary showing:</t>
  </si>
  <si>
    <t>Overall Attendance Rate (% across organization)</t>
  </si>
  <si>
    <t>Average Performance vs Target (% achievement)</t>
  </si>
  <si>
    <t>Number of Underperformers (below 80% target)</t>
  </si>
  <si>
    <t>Top Performing Department</t>
  </si>
  <si>
    <t>Employees with Attendance Issues (&lt;90% attendance)</t>
  </si>
  <si>
    <t>2. Performance Achievement Analysis</t>
  </si>
  <si>
    <t>Task: Build performance visualization charts</t>
  </si>
  <si>
    <t>Department-wise performance bar charts (Target vs Actual)</t>
  </si>
  <si>
    <t>Individual performance distribution histogram</t>
  </si>
  <si>
    <t>Performance vs Attendance scatter plot</t>
  </si>
  <si>
    <t>Top 10 performers ranking table</t>
  </si>
  <si>
    <t>3. Attendance Tracking &amp; Trends</t>
  </si>
  <si>
    <t>Task: Develop attendance monitoring system</t>
  </si>
  <si>
    <t>Monthly attendance trend line chart</t>
  </si>
  <si>
    <t>Department attendance rates comparison</t>
  </si>
  <si>
    <t>Attendance distribution across organization</t>
  </si>
  <si>
    <t>Absenteeism patterns by day/week</t>
  </si>
  <si>
    <t>4. Conditional Formatting Implementation</t>
  </si>
  <si>
    <t>Task: Apply visual indicators for performance levels</t>
  </si>
  <si>
    <t>Traffic light system for performance categories:</t>
  </si>
  <si>
    <t>🟢 Excellent (100%+ of target)</t>
  </si>
  <si>
    <t>🟡 Good (90-99% of target)</t>
  </si>
  <si>
    <t>🟠 Needs Improvement (80-89% of target)</t>
  </si>
  <si>
    <t>🔴 Underperformer (&lt;80% of target)</t>
  </si>
  <si>
    <t>Attendance color coding:</t>
  </si>
  <si>
    <t>Green: &gt;95% attendance</t>
  </si>
  <si>
    <t>Yellow: 90-95% attendance</t>
  </si>
  <si>
    <t>Red: &lt;90% attendance</t>
  </si>
  <si>
    <t>5. Department Performance Breakdown</t>
  </si>
  <si>
    <t>Task: Create department-level analysis</t>
  </si>
  <si>
    <t>Department ranking by performance achievement</t>
  </si>
  <si>
    <t>Attendance rate by department comparison</t>
  </si>
  <si>
    <t>Department headcount and performance correlation</t>
  </si>
  <si>
    <t>Cross-department performance benchmarks</t>
  </si>
  <si>
    <t>6. Interactive HR Controls</t>
  </si>
  <si>
    <t>Task: Implement dynamic filtering options</t>
  </si>
  <si>
    <t>Department selector (dropdown/multi-select)</t>
  </si>
  <si>
    <t>Performance threshold slider</t>
  </si>
  <si>
    <t>Attendance rate filter</t>
  </si>
  <si>
    <t>Date range selector (monthly/quarterly)</t>
  </si>
  <si>
    <t>7. Employee Drill-Down Reports</t>
  </si>
  <si>
    <t>Task: Enable detailed employee analysis</t>
  </si>
  <si>
    <t>Click-through from department to individual employees</t>
  </si>
  <si>
    <t>Employee performance history trend</t>
  </si>
  <si>
    <t>Attendance pattern analysis for selected employee</t>
  </si>
  <si>
    <t>Performance improvement tracking</t>
  </si>
  <si>
    <t>8. Correlation Analysis</t>
  </si>
  <si>
    <t>Task: Identify relationships between metrics</t>
  </si>
  <si>
    <t>Attendance vs Performance correlation chart</t>
  </si>
  <si>
    <t>Department size vs Performance analysis</t>
  </si>
  <si>
    <t>Tenure vs Performance relationship</t>
  </si>
  <si>
    <t>Seasonal performance patterns</t>
  </si>
  <si>
    <t>9. Underperformer Identification System</t>
  </si>
  <si>
    <t>Task: Create automated alerts and reporting</t>
  </si>
  <si>
    <t>Underperformer list with severity indicators</t>
  </si>
  <si>
    <t>Attendance issue flags automated detection</t>
  </si>
  <si>
    <t>Improvement tracking for flagged employees</t>
  </si>
  <si>
    <t>Manager alerts for critical cases</t>
  </si>
  <si>
    <t>10. Professional HR Report Generator</t>
  </si>
  <si>
    <t>Task: Build comprehensive reporting features</t>
  </si>
  <si>
    <t>One-click executive summary generation</t>
  </si>
  <si>
    <t>Department-specific reports</t>
  </si>
  <si>
    <t>Individual performance review templates</t>
  </si>
  <si>
    <t>Export capabilities (PDF, Excel, PowerPoint)</t>
  </si>
  <si>
    <t>Technical Implementation</t>
  </si>
  <si>
    <t>Performance Calculation:</t>
  </si>
  <si>
    <t>Performance Achievement % = (Actual Performance / Monthly Targets) * 100</t>
  </si>
  <si>
    <t>Attendance Rate % = (Days Present / Total Working Days) * 100</t>
  </si>
  <si>
    <t>Conditional Formatting Rules:</t>
  </si>
  <si>
    <t>Performance Categories:</t>
  </si>
  <si>
    <t>Excellent: ≥100%</t>
  </si>
  <si>
    <t>Good: 90-99%</t>
  </si>
  <si>
    <t>Needs Improvement: 80-89%</t>
  </si>
  <si>
    <t>Underperformer: &lt;80%</t>
  </si>
  <si>
    <t>Attendance Categories:</t>
  </si>
  <si>
    <t>Excellent: ≥95%</t>
  </si>
  <si>
    <t>Satisfactory: 90-94%</t>
  </si>
  <si>
    <t>Poor: &lt;90%</t>
  </si>
  <si>
    <t>Employee ID</t>
  </si>
  <si>
    <t>Name</t>
  </si>
  <si>
    <t>Department</t>
  </si>
  <si>
    <t>Monthly Attendance</t>
  </si>
  <si>
    <t>Monthly Target</t>
  </si>
  <si>
    <t>Actual Performance</t>
  </si>
  <si>
    <t>E1000</t>
  </si>
  <si>
    <t>Employee_0</t>
  </si>
  <si>
    <t>Sales</t>
  </si>
  <si>
    <t>E1001</t>
  </si>
  <si>
    <t>Employee_1</t>
  </si>
  <si>
    <t>HR</t>
  </si>
  <si>
    <t>E1002</t>
  </si>
  <si>
    <t>Employee_2</t>
  </si>
  <si>
    <t>Marketing</t>
  </si>
  <si>
    <t>E1003</t>
  </si>
  <si>
    <t>Employee_3</t>
  </si>
  <si>
    <t>Finance</t>
  </si>
  <si>
    <t>E1004</t>
  </si>
  <si>
    <t>Employee_4</t>
  </si>
  <si>
    <t>E1005</t>
  </si>
  <si>
    <t>Employee_5</t>
  </si>
  <si>
    <t>E1006</t>
  </si>
  <si>
    <t>Employee_6</t>
  </si>
  <si>
    <t>E1007</t>
  </si>
  <si>
    <t>Employee_7</t>
  </si>
  <si>
    <t>IT</t>
  </si>
  <si>
    <t>E1008</t>
  </si>
  <si>
    <t>Employee_8</t>
  </si>
  <si>
    <t>E1009</t>
  </si>
  <si>
    <t>Employee_9</t>
  </si>
  <si>
    <t>E1010</t>
  </si>
  <si>
    <t>Employee_10</t>
  </si>
  <si>
    <t>E1011</t>
  </si>
  <si>
    <t>Employee_11</t>
  </si>
  <si>
    <t>E1012</t>
  </si>
  <si>
    <t>Employee_12</t>
  </si>
  <si>
    <t>E1013</t>
  </si>
  <si>
    <t>Employee_13</t>
  </si>
  <si>
    <t>E1014</t>
  </si>
  <si>
    <t>Employee_14</t>
  </si>
  <si>
    <t>E1015</t>
  </si>
  <si>
    <t>Employee_15</t>
  </si>
  <si>
    <t>E1016</t>
  </si>
  <si>
    <t>Employee_16</t>
  </si>
  <si>
    <t>E1017</t>
  </si>
  <si>
    <t>Employee_17</t>
  </si>
  <si>
    <t>E1018</t>
  </si>
  <si>
    <t>Employee_18</t>
  </si>
  <si>
    <t>E1019</t>
  </si>
  <si>
    <t>Employee_19</t>
  </si>
  <si>
    <t>E1020</t>
  </si>
  <si>
    <t>Employee_20</t>
  </si>
  <si>
    <t>E1021</t>
  </si>
  <si>
    <t>Employee_21</t>
  </si>
  <si>
    <t>E1022</t>
  </si>
  <si>
    <t>Employee_22</t>
  </si>
  <si>
    <t>E1023</t>
  </si>
  <si>
    <t>Employee_23</t>
  </si>
  <si>
    <t>E1024</t>
  </si>
  <si>
    <t>Employee_24</t>
  </si>
  <si>
    <t>E1025</t>
  </si>
  <si>
    <t>Employee_25</t>
  </si>
  <si>
    <t>E1026</t>
  </si>
  <si>
    <t>Employee_26</t>
  </si>
  <si>
    <t>E1027</t>
  </si>
  <si>
    <t>Employee_27</t>
  </si>
  <si>
    <t>E1028</t>
  </si>
  <si>
    <t>Employee_28</t>
  </si>
  <si>
    <t>E1029</t>
  </si>
  <si>
    <t>Employee_29</t>
  </si>
  <si>
    <t>E1030</t>
  </si>
  <si>
    <t>Employee_30</t>
  </si>
  <si>
    <t>E1031</t>
  </si>
  <si>
    <t>Employee_31</t>
  </si>
  <si>
    <t>E1032</t>
  </si>
  <si>
    <t>Employee_32</t>
  </si>
  <si>
    <t>E1033</t>
  </si>
  <si>
    <t>Employee_33</t>
  </si>
  <si>
    <t>E1034</t>
  </si>
  <si>
    <t>Employee_34</t>
  </si>
  <si>
    <t>E1035</t>
  </si>
  <si>
    <t>Employee_35</t>
  </si>
  <si>
    <t>E1036</t>
  </si>
  <si>
    <t>Employee_36</t>
  </si>
  <si>
    <t>E1037</t>
  </si>
  <si>
    <t>Employee_37</t>
  </si>
  <si>
    <t>E1038</t>
  </si>
  <si>
    <t>Employee_38</t>
  </si>
  <si>
    <t>E1039</t>
  </si>
  <si>
    <t>Employee_39</t>
  </si>
  <si>
    <t>E1040</t>
  </si>
  <si>
    <t>Employee_40</t>
  </si>
  <si>
    <t>E1041</t>
  </si>
  <si>
    <t>Employee_41</t>
  </si>
  <si>
    <t>E1042</t>
  </si>
  <si>
    <t>Employee_42</t>
  </si>
  <si>
    <t>E1043</t>
  </si>
  <si>
    <t>Employee_43</t>
  </si>
  <si>
    <t>E1044</t>
  </si>
  <si>
    <t>Employee_44</t>
  </si>
  <si>
    <t>E1045</t>
  </si>
  <si>
    <t>Employee_45</t>
  </si>
  <si>
    <t>E1046</t>
  </si>
  <si>
    <t>Employee_46</t>
  </si>
  <si>
    <t>E1047</t>
  </si>
  <si>
    <t>Employee_47</t>
  </si>
  <si>
    <t>E1048</t>
  </si>
  <si>
    <t>Employee_48</t>
  </si>
  <si>
    <t>E1049</t>
  </si>
  <si>
    <t>Employee_49</t>
  </si>
  <si>
    <t>E1050</t>
  </si>
  <si>
    <t>Employee_50</t>
  </si>
  <si>
    <t>E1051</t>
  </si>
  <si>
    <t>Employee_51</t>
  </si>
  <si>
    <t>E1052</t>
  </si>
  <si>
    <t>Employee_52</t>
  </si>
  <si>
    <t>E1053</t>
  </si>
  <si>
    <t>Employee_53</t>
  </si>
  <si>
    <t>E1054</t>
  </si>
  <si>
    <t>Employee_54</t>
  </si>
  <si>
    <t>E1055</t>
  </si>
  <si>
    <t>Employee_55</t>
  </si>
  <si>
    <t>E1056</t>
  </si>
  <si>
    <t>Employee_56</t>
  </si>
  <si>
    <t>E1057</t>
  </si>
  <si>
    <t>Employee_57</t>
  </si>
  <si>
    <t>E1058</t>
  </si>
  <si>
    <t>Employee_58</t>
  </si>
  <si>
    <t>E1059</t>
  </si>
  <si>
    <t>Employee_59</t>
  </si>
  <si>
    <t>E1060</t>
  </si>
  <si>
    <t>Employee_60</t>
  </si>
  <si>
    <t>E1061</t>
  </si>
  <si>
    <t>Employee_61</t>
  </si>
  <si>
    <t>E1062</t>
  </si>
  <si>
    <t>Employee_62</t>
  </si>
  <si>
    <t>E1063</t>
  </si>
  <si>
    <t>Employee_63</t>
  </si>
  <si>
    <t>E1064</t>
  </si>
  <si>
    <t>Employee_64</t>
  </si>
  <si>
    <t>E1065</t>
  </si>
  <si>
    <t>Employee_65</t>
  </si>
  <si>
    <t>E1066</t>
  </si>
  <si>
    <t>Employee_66</t>
  </si>
  <si>
    <t>E1067</t>
  </si>
  <si>
    <t>Employee_67</t>
  </si>
  <si>
    <t>E1068</t>
  </si>
  <si>
    <t>Employee_68</t>
  </si>
  <si>
    <t>E1069</t>
  </si>
  <si>
    <t>Employee_69</t>
  </si>
  <si>
    <t>E1070</t>
  </si>
  <si>
    <t>Employee_70</t>
  </si>
  <si>
    <t>E1071</t>
  </si>
  <si>
    <t>Employee_71</t>
  </si>
  <si>
    <t>E1072</t>
  </si>
  <si>
    <t>Employee_72</t>
  </si>
  <si>
    <t>E1073</t>
  </si>
  <si>
    <t>Employee_73</t>
  </si>
  <si>
    <t>E1074</t>
  </si>
  <si>
    <t>Employee_74</t>
  </si>
  <si>
    <t>E1075</t>
  </si>
  <si>
    <t>Employee_75</t>
  </si>
  <si>
    <t>E1076</t>
  </si>
  <si>
    <t>Employee_76</t>
  </si>
  <si>
    <t>E1077</t>
  </si>
  <si>
    <t>Employee_77</t>
  </si>
  <si>
    <t>E1078</t>
  </si>
  <si>
    <t>Employee_78</t>
  </si>
  <si>
    <t>E1079</t>
  </si>
  <si>
    <t>Employee_79</t>
  </si>
  <si>
    <t>E1080</t>
  </si>
  <si>
    <t>Employee_80</t>
  </si>
  <si>
    <t>E1081</t>
  </si>
  <si>
    <t>Employee_81</t>
  </si>
  <si>
    <t>E1082</t>
  </si>
  <si>
    <t>Employee_82</t>
  </si>
  <si>
    <t>E1083</t>
  </si>
  <si>
    <t>Employee_83</t>
  </si>
  <si>
    <t>E1084</t>
  </si>
  <si>
    <t>Employee_84</t>
  </si>
  <si>
    <t>E1085</t>
  </si>
  <si>
    <t>Employee_85</t>
  </si>
  <si>
    <t>E1086</t>
  </si>
  <si>
    <t>Employee_86</t>
  </si>
  <si>
    <t>E1087</t>
  </si>
  <si>
    <t>Employee_87</t>
  </si>
  <si>
    <t>E1088</t>
  </si>
  <si>
    <t>Employee_88</t>
  </si>
  <si>
    <t>E1089</t>
  </si>
  <si>
    <t>Employee_89</t>
  </si>
  <si>
    <t>E1090</t>
  </si>
  <si>
    <t>Employee_90</t>
  </si>
  <si>
    <t>E1091</t>
  </si>
  <si>
    <t>Employee_91</t>
  </si>
  <si>
    <t>E1092</t>
  </si>
  <si>
    <t>Employee_92</t>
  </si>
  <si>
    <t>E1093</t>
  </si>
  <si>
    <t>Employee_93</t>
  </si>
  <si>
    <t>E1094</t>
  </si>
  <si>
    <t>Employee_94</t>
  </si>
  <si>
    <t>E1095</t>
  </si>
  <si>
    <t>Employee_95</t>
  </si>
  <si>
    <t>E1096</t>
  </si>
  <si>
    <t>Employee_96</t>
  </si>
  <si>
    <t>E1097</t>
  </si>
  <si>
    <t>Employee_97</t>
  </si>
  <si>
    <t>E1098</t>
  </si>
  <si>
    <t>Employee_98</t>
  </si>
  <si>
    <t>E1099</t>
  </si>
  <si>
    <t>Employee_99</t>
  </si>
  <si>
    <t>Attendance Rate</t>
  </si>
  <si>
    <t>Performance Category</t>
  </si>
  <si>
    <t>Attendance Category</t>
  </si>
  <si>
    <t>Grand Total</t>
  </si>
  <si>
    <t>Performance Achivement %</t>
  </si>
  <si>
    <t>Average of Monthly Target</t>
  </si>
  <si>
    <t>Average of Actual Performance</t>
  </si>
  <si>
    <t>Count of Attendance Category</t>
  </si>
  <si>
    <t>Average of Attendance Rate</t>
  </si>
  <si>
    <t>Poor</t>
  </si>
  <si>
    <t>Excellent</t>
  </si>
  <si>
    <t>Underperformer</t>
  </si>
  <si>
    <t>Count of Employee ID</t>
  </si>
  <si>
    <t>performance category</t>
  </si>
  <si>
    <t xml:space="preserve"> Top Dept</t>
  </si>
  <si>
    <t>Attendance Issues count</t>
  </si>
  <si>
    <t xml:space="preserve">Overall Attendance Rate </t>
  </si>
  <si>
    <t>Under Performer Count</t>
  </si>
  <si>
    <t>Satisfactory</t>
  </si>
  <si>
    <t>Deartment</t>
  </si>
  <si>
    <t xml:space="preserve"> </t>
  </si>
  <si>
    <t>Sum of Performance Achivement %</t>
  </si>
  <si>
    <t>Enployee Name</t>
  </si>
  <si>
    <t xml:space="preserve"> Avg Performance vs Target</t>
  </si>
  <si>
    <t>Months</t>
  </si>
  <si>
    <t>Jan</t>
  </si>
  <si>
    <t>Feb</t>
  </si>
  <si>
    <t>March</t>
  </si>
  <si>
    <t>April</t>
  </si>
  <si>
    <t>May</t>
  </si>
  <si>
    <t>Attendance</t>
  </si>
  <si>
    <t>Absenteesm_days</t>
  </si>
  <si>
    <t>Sum of Absenteesm_days</t>
  </si>
  <si>
    <t>Count of Absenteesm_days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</si>
</sst>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3"/>
      <color theme="1"/>
      <name val="Calibri"/>
    </font>
    <font>
      <sz val="11"/>
      <color theme="1"/>
      <name val="Calibri"/>
    </font>
    <font>
      <b/>
      <sz val="11"/>
      <color rgb="FF000000"/>
      <name val="Calibri"/>
    </font>
    <font>
      <b/>
      <sz val="11"/>
      <color theme="1"/>
      <name val="Calibri"/>
    </font>
    <font>
      <b/>
      <sz val="11"/>
      <color theme="1"/>
      <name val="Calibri"/>
      <scheme val="minor"/>
    </font>
    <font>
      <sz val="11"/>
      <color theme="1"/>
      <name val="Calibri"/>
      <scheme val="minor"/>
    </font>
  </fonts>
  <fills count="4">
    <fill>
      <patternFill patternType="none"/>
    </fill>
    <fill>
      <patternFill patternType="gray125"/>
    </fill>
    <fill>
      <patternFill patternType="solid">
        <fgColor rgb="FF89A1D7"/>
        <bgColor indexed="64"/>
      </patternFill>
    </fill>
    <fill>
      <patternFill patternType="solid">
        <fgColor theme="4" tint="0.39997558519241921"/>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2" fillId="0" borderId="1" xfId="0" applyFont="1" applyBorder="1" applyAlignment="1">
      <alignment vertical="center"/>
    </xf>
    <xf numFmtId="0" fontId="3" fillId="0" borderId="1" xfId="0" applyFont="1" applyBorder="1" applyAlignment="1">
      <alignment wrapText="1"/>
    </xf>
    <xf numFmtId="0" fontId="4" fillId="0" borderId="1" xfId="0" applyFont="1" applyBorder="1" applyAlignment="1">
      <alignmen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6" fillId="0" borderId="0" xfId="0" applyFont="1"/>
    <xf numFmtId="0" fontId="7" fillId="0" borderId="0" xfId="0" applyFont="1"/>
    <xf numFmtId="0" fontId="0" fillId="0" borderId="0" xfId="0" pivotButton="1"/>
    <xf numFmtId="0" fontId="0" fillId="0" borderId="0" xfId="0" applyAlignment="1">
      <alignment horizontal="left"/>
    </xf>
    <xf numFmtId="0" fontId="1" fillId="0" borderId="0" xfId="0" applyFont="1"/>
    <xf numFmtId="0" fontId="0" fillId="2" borderId="0" xfId="0" applyFill="1"/>
    <xf numFmtId="0" fontId="0" fillId="3" borderId="0" xfId="0" applyFill="1"/>
  </cellXfs>
  <cellStyles count="1">
    <cellStyle name="Normal" xfId="0" builtinId="0"/>
  </cellStyles>
  <dxfs count="11">
    <dxf>
      <fill>
        <patternFill>
          <bgColor theme="9" tint="-0.24994659260841701"/>
        </patternFill>
      </fill>
    </dxf>
    <dxf>
      <fill>
        <patternFill>
          <bgColor theme="7" tint="0.39994506668294322"/>
        </patternFill>
      </fill>
    </dxf>
    <dxf>
      <fill>
        <patternFill>
          <bgColor rgb="FFFF3300"/>
        </patternFill>
      </fill>
    </dxf>
    <dxf>
      <fill>
        <patternFill>
          <bgColor theme="9" tint="-0.24994659260841701"/>
        </patternFill>
      </fill>
    </dxf>
    <dxf>
      <fill>
        <patternFill>
          <bgColor theme="9" tint="0.39994506668294322"/>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5" tint="0.39994506668294322"/>
        </patternFill>
      </fill>
    </dxf>
    <dxf>
      <fill>
        <patternFill>
          <bgColor rgb="FFFF3F3F"/>
        </patternFill>
      </fill>
    </dxf>
    <dxf>
      <fill>
        <patternFill>
          <bgColor theme="9" tint="-0.24994659260841701"/>
        </patternFill>
      </fill>
    </dxf>
  </dxfs>
  <tableStyles count="0" defaultTableStyle="TableStyleMedium2" defaultPivotStyle="PivotStyleLight16"/>
  <colors>
    <mruColors>
      <color rgb="FF4674C6"/>
      <color rgb="FF89A1D7"/>
      <color rgb="FFEF624B"/>
      <color rgb="FFFF3300"/>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Attendance Trend Line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Attendance_trend!$B$1</c:f>
              <c:strCache>
                <c:ptCount val="1"/>
                <c:pt idx="0">
                  <c:v>Attendance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Attendance_trend!$A$2:$A$6</c:f>
              <c:strCache>
                <c:ptCount val="5"/>
                <c:pt idx="0">
                  <c:v>Jan</c:v>
                </c:pt>
                <c:pt idx="1">
                  <c:v>Feb</c:v>
                </c:pt>
                <c:pt idx="2">
                  <c:v>March</c:v>
                </c:pt>
                <c:pt idx="3">
                  <c:v>April</c:v>
                </c:pt>
                <c:pt idx="4">
                  <c:v>May</c:v>
                </c:pt>
              </c:strCache>
            </c:strRef>
          </c:cat>
          <c:val>
            <c:numRef>
              <c:f>Attendance_trend!$B$2:$B$6</c:f>
              <c:numCache>
                <c:formatCode>General</c:formatCode>
                <c:ptCount val="5"/>
                <c:pt idx="0">
                  <c:v>85.22727272727272</c:v>
                </c:pt>
                <c:pt idx="1">
                  <c:v>83.409090909090907</c:v>
                </c:pt>
                <c:pt idx="2">
                  <c:v>89.203330475210151</c:v>
                </c:pt>
                <c:pt idx="3">
                  <c:v>95.496090411802186</c:v>
                </c:pt>
                <c:pt idx="4">
                  <c:v>98.596088434492515</c:v>
                </c:pt>
              </c:numCache>
            </c:numRef>
          </c:val>
          <c:smooth val="0"/>
          <c:extLst>
            <c:ext xmlns:c16="http://schemas.microsoft.com/office/drawing/2014/chart" uri="{C3380CC4-5D6E-409C-BE32-E72D297353CC}">
              <c16:uniqueId val="{00000000-616B-4B65-8881-8EED1E8DA5CD}"/>
            </c:ext>
          </c:extLst>
        </c:ser>
        <c:dLbls>
          <c:showLegendKey val="0"/>
          <c:showVal val="0"/>
          <c:showCatName val="0"/>
          <c:showSerName val="0"/>
          <c:showPercent val="0"/>
          <c:showBubbleSize val="0"/>
        </c:dLbls>
        <c:smooth val="0"/>
        <c:axId val="280221824"/>
        <c:axId val="280222304"/>
      </c:lineChart>
      <c:catAx>
        <c:axId val="2802218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222304"/>
        <c:crosses val="autoZero"/>
        <c:auto val="1"/>
        <c:lblAlgn val="ctr"/>
        <c:lblOffset val="100"/>
        <c:noMultiLvlLbl val="0"/>
      </c:catAx>
      <c:valAx>
        <c:axId val="280222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22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miniproject 1.xlsx]performance distribution!PivotTable3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'performance distribution'!$B$3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B1B-4FE0-92FC-A18BE805844A}"/>
              </c:ext>
            </c:extLst>
          </c:dPt>
          <c:dPt>
            <c:idx val="1"/>
            <c:bubble3D val="0"/>
            <c:spPr>
              <a:gradFill rotWithShape="1">
                <a:gsLst>
                  <a:gs pos="0">
                    <a:schemeClr val="accent2">
                      <a:tint val="30000"/>
                      <a:satMod val="103000"/>
                      <a:lumMod val="102000"/>
                      <a:tint val="94000"/>
                    </a:schemeClr>
                  </a:gs>
                  <a:gs pos="50000">
                    <a:schemeClr val="accent2">
                      <a:tint val="30000"/>
                      <a:satMod val="110000"/>
                      <a:lumMod val="100000"/>
                      <a:shade val="100000"/>
                    </a:schemeClr>
                  </a:gs>
                  <a:gs pos="100000">
                    <a:schemeClr val="accent2">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1B-4FE0-92FC-A18BE805844A}"/>
              </c:ext>
            </c:extLst>
          </c:dPt>
          <c:dPt>
            <c:idx val="2"/>
            <c:bubble3D val="0"/>
            <c:spPr>
              <a:gradFill rotWithShape="1">
                <a:gsLst>
                  <a:gs pos="0">
                    <a:schemeClr val="accent2">
                      <a:tint val="60000"/>
                      <a:satMod val="103000"/>
                      <a:lumMod val="102000"/>
                      <a:tint val="94000"/>
                    </a:schemeClr>
                  </a:gs>
                  <a:gs pos="50000">
                    <a:schemeClr val="accent2">
                      <a:tint val="60000"/>
                      <a:satMod val="110000"/>
                      <a:lumMod val="100000"/>
                      <a:shade val="100000"/>
                    </a:schemeClr>
                  </a:gs>
                  <a:gs pos="100000">
                    <a:schemeClr val="accent2">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B1B-4FE0-92FC-A18BE805844A}"/>
              </c:ext>
            </c:extLst>
          </c:dPt>
          <c:dPt>
            <c:idx val="3"/>
            <c:bubble3D val="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B1B-4FE0-92FC-A18BE80584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 distribution'!$A$4</c:f>
              <c:strCache>
                <c:ptCount val="1"/>
                <c:pt idx="0">
                  <c:v>Grand Total</c:v>
                </c:pt>
              </c:strCache>
            </c:strRef>
          </c:cat>
          <c:val>
            <c:numRef>
              <c:f>'performance distribution'!$B$4</c:f>
              <c:numCache>
                <c:formatCode>General</c:formatCode>
                <c:ptCount val="1"/>
              </c:numCache>
            </c:numRef>
          </c:val>
          <c:extLst>
            <c:ext xmlns:c16="http://schemas.microsoft.com/office/drawing/2014/chart" uri="{C3380CC4-5D6E-409C-BE32-E72D297353CC}">
              <c16:uniqueId val="{00000000-1779-41E9-908E-F5EA902EB32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1.xlsx]performance distribution!PivotTable3</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Attendance Distribution across Organization</a:t>
            </a:r>
          </a:p>
        </c:rich>
      </c:tx>
      <c:layout>
        <c:manualLayout>
          <c:xMode val="edge"/>
          <c:yMode val="edge"/>
          <c:x val="0.16579155730533685"/>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distribution'!$B$3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'performance distribution'!$A$4</c:f>
              <c:strCache>
                <c:ptCount val="1"/>
                <c:pt idx="0">
                  <c:v>Grand Total</c:v>
                </c:pt>
              </c:strCache>
            </c:strRef>
          </c:cat>
          <c:val>
            <c:numRef>
              <c:f>'performance distribution'!$B$4</c:f>
              <c:numCache>
                <c:formatCode>General</c:formatCode>
                <c:ptCount val="1"/>
              </c:numCache>
            </c:numRef>
          </c:val>
          <c:extLst>
            <c:ext xmlns:c16="http://schemas.microsoft.com/office/drawing/2014/chart" uri="{C3380CC4-5D6E-409C-BE32-E72D297353CC}">
              <c16:uniqueId val="{00000000-9EBF-4B1E-84C9-FAF1B68FE386}"/>
            </c:ext>
          </c:extLst>
        </c:ser>
        <c:dLbls>
          <c:dLblPos val="inEnd"/>
          <c:showLegendKey val="0"/>
          <c:showVal val="1"/>
          <c:showCatName val="0"/>
          <c:showSerName val="0"/>
          <c:showPercent val="0"/>
          <c:showBubbleSize val="0"/>
        </c:dLbls>
        <c:gapWidth val="65"/>
        <c:axId val="426189072"/>
        <c:axId val="426188112"/>
      </c:barChart>
      <c:catAx>
        <c:axId val="426189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6188112"/>
        <c:crosses val="autoZero"/>
        <c:auto val="1"/>
        <c:lblAlgn val="ctr"/>
        <c:lblOffset val="100"/>
        <c:noMultiLvlLbl val="0"/>
      </c:catAx>
      <c:valAx>
        <c:axId val="4261881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61890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miniproject 1.xlsx]Absenteesm!PivotTable3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Absenteeism Patterns by Day/Week</a:t>
            </a:r>
          </a:p>
        </c:rich>
      </c:tx>
      <c:layout>
        <c:manualLayout>
          <c:xMode val="edge"/>
          <c:yMode val="edge"/>
          <c:x val="0.18020122484689413"/>
          <c:y val="0.128608923884514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Absenteesm!$B$3</c:f>
              <c:strCache>
                <c:ptCount val="1"/>
                <c:pt idx="0">
                  <c:v>Count of Absenteesm_days</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Absenteesm!$A$4:$A$9</c:f>
              <c:strCache>
                <c:ptCount val="5"/>
                <c:pt idx="0">
                  <c:v>Finance</c:v>
                </c:pt>
                <c:pt idx="1">
                  <c:v>HR</c:v>
                </c:pt>
                <c:pt idx="2">
                  <c:v>IT</c:v>
                </c:pt>
                <c:pt idx="3">
                  <c:v>Marketing</c:v>
                </c:pt>
                <c:pt idx="4">
                  <c:v>Sales</c:v>
                </c:pt>
              </c:strCache>
            </c:strRef>
          </c:cat>
          <c:val>
            <c:numRef>
              <c:f>Absenteesm!$B$4:$B$9</c:f>
              <c:numCache>
                <c:formatCode>General</c:formatCode>
                <c:ptCount val="5"/>
                <c:pt idx="0">
                  <c:v>22</c:v>
                </c:pt>
                <c:pt idx="1">
                  <c:v>21</c:v>
                </c:pt>
                <c:pt idx="2">
                  <c:v>17</c:v>
                </c:pt>
                <c:pt idx="3">
                  <c:v>24</c:v>
                </c:pt>
                <c:pt idx="4">
                  <c:v>16</c:v>
                </c:pt>
              </c:numCache>
            </c:numRef>
          </c:val>
          <c:extLst>
            <c:ext xmlns:c16="http://schemas.microsoft.com/office/drawing/2014/chart" uri="{C3380CC4-5D6E-409C-BE32-E72D297353CC}">
              <c16:uniqueId val="{00000000-E88A-437F-A0A4-4198CD20E8AF}"/>
            </c:ext>
          </c:extLst>
        </c:ser>
        <c:ser>
          <c:idx val="1"/>
          <c:order val="1"/>
          <c:tx>
            <c:strRef>
              <c:f>Absenteesm!$C$3</c:f>
              <c:strCache>
                <c:ptCount val="1"/>
                <c:pt idx="0">
                  <c:v>Sum of Absenteesm_days</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Absenteesm!$A$4:$A$9</c:f>
              <c:strCache>
                <c:ptCount val="5"/>
                <c:pt idx="0">
                  <c:v>Finance</c:v>
                </c:pt>
                <c:pt idx="1">
                  <c:v>HR</c:v>
                </c:pt>
                <c:pt idx="2">
                  <c:v>IT</c:v>
                </c:pt>
                <c:pt idx="3">
                  <c:v>Marketing</c:v>
                </c:pt>
                <c:pt idx="4">
                  <c:v>Sales</c:v>
                </c:pt>
              </c:strCache>
            </c:strRef>
          </c:cat>
          <c:val>
            <c:numRef>
              <c:f>Absenteesm!$C$4:$C$9</c:f>
              <c:numCache>
                <c:formatCode>General</c:formatCode>
                <c:ptCount val="5"/>
                <c:pt idx="0">
                  <c:v>89</c:v>
                </c:pt>
                <c:pt idx="1">
                  <c:v>67</c:v>
                </c:pt>
                <c:pt idx="2">
                  <c:v>54</c:v>
                </c:pt>
                <c:pt idx="3">
                  <c:v>70</c:v>
                </c:pt>
                <c:pt idx="4">
                  <c:v>66</c:v>
                </c:pt>
              </c:numCache>
            </c:numRef>
          </c:val>
          <c:extLst>
            <c:ext xmlns:c16="http://schemas.microsoft.com/office/drawing/2014/chart" uri="{C3380CC4-5D6E-409C-BE32-E72D297353CC}">
              <c16:uniqueId val="{00000001-E88A-437F-A0A4-4198CD20E8AF}"/>
            </c:ext>
          </c:extLst>
        </c:ser>
        <c:dLbls>
          <c:dLblPos val="inEnd"/>
          <c:showLegendKey val="0"/>
          <c:showVal val="1"/>
          <c:showCatName val="0"/>
          <c:showSerName val="0"/>
          <c:showPercent val="0"/>
          <c:showBubbleSize val="0"/>
        </c:dLbls>
        <c:gapWidth val="65"/>
        <c:axId val="431313072"/>
        <c:axId val="431312112"/>
      </c:barChart>
      <c:catAx>
        <c:axId val="431313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1312112"/>
        <c:crosses val="autoZero"/>
        <c:auto val="1"/>
        <c:lblAlgn val="ctr"/>
        <c:lblOffset val="100"/>
        <c:noMultiLvlLbl val="0"/>
      </c:catAx>
      <c:valAx>
        <c:axId val="4313121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13130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0" i="0" u="none" strike="noStrike" cap="all" normalizeH="0" baseline="0">
                <a:effectLst/>
              </a:rPr>
              <a:t>Attendance vs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'Employee Performance and Attend'!$H$1</c:f>
              <c:strCache>
                <c:ptCount val="1"/>
                <c:pt idx="0">
                  <c:v>Attendance Rate</c:v>
                </c:pt>
              </c:strCache>
            </c:strRef>
          </c:tx>
          <c:spPr>
            <a:ln w="25400" cap="rnd">
              <a:noFill/>
              <a:round/>
            </a:ln>
            <a:effectLst/>
          </c:spPr>
          <c:marker>
            <c:symbol val="diamond"/>
            <c:size val="6"/>
            <c:spPr>
              <a:solidFill>
                <a:schemeClr val="accent1"/>
              </a:solidFill>
              <a:ln w="9525">
                <a:solidFill>
                  <a:schemeClr val="accent1"/>
                </a:solidFill>
                <a:round/>
              </a:ln>
              <a:effectLst/>
            </c:spPr>
          </c:marker>
          <c:xVal>
            <c:numRef>
              <c:f>'Employee Performance and Attend'!$G$2:$G$101</c:f>
              <c:numCache>
                <c:formatCode>General</c:formatCode>
                <c:ptCount val="100"/>
                <c:pt idx="0">
                  <c:v>56.25</c:v>
                </c:pt>
                <c:pt idx="1">
                  <c:v>143.75</c:v>
                </c:pt>
                <c:pt idx="2">
                  <c:v>86.597938144329902</c:v>
                </c:pt>
                <c:pt idx="3">
                  <c:v>113.51351351351352</c:v>
                </c:pt>
                <c:pt idx="4">
                  <c:v>140</c:v>
                </c:pt>
                <c:pt idx="5">
                  <c:v>86</c:v>
                </c:pt>
                <c:pt idx="6">
                  <c:v>86.666666666666671</c:v>
                </c:pt>
                <c:pt idx="7">
                  <c:v>104.80769230769231</c:v>
                </c:pt>
                <c:pt idx="8">
                  <c:v>118.8118811881188</c:v>
                </c:pt>
                <c:pt idx="9">
                  <c:v>103.77358490566037</c:v>
                </c:pt>
                <c:pt idx="10">
                  <c:v>84.782608695652172</c:v>
                </c:pt>
                <c:pt idx="11">
                  <c:v>71.428571428571431</c:v>
                </c:pt>
                <c:pt idx="12">
                  <c:v>56.637168141592923</c:v>
                </c:pt>
                <c:pt idx="13">
                  <c:v>88.596491228070178</c:v>
                </c:pt>
                <c:pt idx="14">
                  <c:v>150</c:v>
                </c:pt>
                <c:pt idx="15">
                  <c:v>81</c:v>
                </c:pt>
                <c:pt idx="16">
                  <c:v>94.117647058823522</c:v>
                </c:pt>
                <c:pt idx="17">
                  <c:v>120.56074766355141</c:v>
                </c:pt>
                <c:pt idx="18">
                  <c:v>62.5</c:v>
                </c:pt>
                <c:pt idx="19">
                  <c:v>76.19047619047619</c:v>
                </c:pt>
                <c:pt idx="20">
                  <c:v>64.545454545454547</c:v>
                </c:pt>
                <c:pt idx="21">
                  <c:v>125</c:v>
                </c:pt>
                <c:pt idx="22">
                  <c:v>79.487179487179489</c:v>
                </c:pt>
                <c:pt idx="23">
                  <c:v>131.70731707317074</c:v>
                </c:pt>
                <c:pt idx="24">
                  <c:v>101.96078431372548</c:v>
                </c:pt>
                <c:pt idx="25">
                  <c:v>74.137931034482762</c:v>
                </c:pt>
                <c:pt idx="26">
                  <c:v>73.275862068965509</c:v>
                </c:pt>
                <c:pt idx="27">
                  <c:v>119.10112359550563</c:v>
                </c:pt>
                <c:pt idx="28">
                  <c:v>129.21348314606743</c:v>
                </c:pt>
                <c:pt idx="29">
                  <c:v>124.48979591836735</c:v>
                </c:pt>
                <c:pt idx="30">
                  <c:v>111.45833333333333</c:v>
                </c:pt>
                <c:pt idx="31">
                  <c:v>120</c:v>
                </c:pt>
                <c:pt idx="32">
                  <c:v>91.397849462365585</c:v>
                </c:pt>
                <c:pt idx="33">
                  <c:v>107.95454545454545</c:v>
                </c:pt>
                <c:pt idx="34">
                  <c:v>75</c:v>
                </c:pt>
                <c:pt idx="35">
                  <c:v>72.826086956521735</c:v>
                </c:pt>
                <c:pt idx="36">
                  <c:v>133.73493975903614</c:v>
                </c:pt>
                <c:pt idx="37">
                  <c:v>132.5</c:v>
                </c:pt>
                <c:pt idx="38">
                  <c:v>96.638655462184872</c:v>
                </c:pt>
                <c:pt idx="39">
                  <c:v>65.765765765765778</c:v>
                </c:pt>
                <c:pt idx="40">
                  <c:v>76.991150442477874</c:v>
                </c:pt>
                <c:pt idx="41">
                  <c:v>57.009345794392516</c:v>
                </c:pt>
                <c:pt idx="42">
                  <c:v>77.272727272727266</c:v>
                </c:pt>
                <c:pt idx="43">
                  <c:v>83.908045977011497</c:v>
                </c:pt>
                <c:pt idx="44">
                  <c:v>100</c:v>
                </c:pt>
                <c:pt idx="45">
                  <c:v>109.52380952380953</c:v>
                </c:pt>
                <c:pt idx="46">
                  <c:v>58.407079646017699</c:v>
                </c:pt>
                <c:pt idx="47">
                  <c:v>75.609756097560975</c:v>
                </c:pt>
                <c:pt idx="48">
                  <c:v>90.109890109890117</c:v>
                </c:pt>
                <c:pt idx="49">
                  <c:v>96.25</c:v>
                </c:pt>
                <c:pt idx="50">
                  <c:v>115.47619047619047</c:v>
                </c:pt>
                <c:pt idx="51">
                  <c:v>67.889908256880744</c:v>
                </c:pt>
                <c:pt idx="52">
                  <c:v>112.8440366972477</c:v>
                </c:pt>
                <c:pt idx="53">
                  <c:v>90.625</c:v>
                </c:pt>
                <c:pt idx="54">
                  <c:v>96.078431372549019</c:v>
                </c:pt>
                <c:pt idx="55">
                  <c:v>123.40425531914893</c:v>
                </c:pt>
                <c:pt idx="56">
                  <c:v>65.517241379310349</c:v>
                </c:pt>
                <c:pt idx="57">
                  <c:v>103</c:v>
                </c:pt>
                <c:pt idx="58">
                  <c:v>90.322580645161281</c:v>
                </c:pt>
                <c:pt idx="59">
                  <c:v>93.827160493827151</c:v>
                </c:pt>
                <c:pt idx="60">
                  <c:v>80</c:v>
                </c:pt>
                <c:pt idx="61">
                  <c:v>71.186440677966104</c:v>
                </c:pt>
                <c:pt idx="62">
                  <c:v>108.54700854700855</c:v>
                </c:pt>
                <c:pt idx="63">
                  <c:v>61.06194690265486</c:v>
                </c:pt>
                <c:pt idx="64">
                  <c:v>107.69230769230769</c:v>
                </c:pt>
                <c:pt idx="65">
                  <c:v>68.141592920353972</c:v>
                </c:pt>
                <c:pt idx="66">
                  <c:v>95.876288659793815</c:v>
                </c:pt>
                <c:pt idx="67">
                  <c:v>61.467889908256879</c:v>
                </c:pt>
                <c:pt idx="68">
                  <c:v>105.31914893617021</c:v>
                </c:pt>
                <c:pt idx="69">
                  <c:v>95.283018867924525</c:v>
                </c:pt>
                <c:pt idx="70">
                  <c:v>88.495575221238937</c:v>
                </c:pt>
                <c:pt idx="71">
                  <c:v>55.555555555555557</c:v>
                </c:pt>
                <c:pt idx="72">
                  <c:v>99.107142857142861</c:v>
                </c:pt>
                <c:pt idx="73">
                  <c:v>82.524271844660191</c:v>
                </c:pt>
                <c:pt idx="74">
                  <c:v>130.85106382978725</c:v>
                </c:pt>
                <c:pt idx="75">
                  <c:v>108.25688073394495</c:v>
                </c:pt>
                <c:pt idx="76">
                  <c:v>119.79166666666667</c:v>
                </c:pt>
                <c:pt idx="77">
                  <c:v>140.47619047619045</c:v>
                </c:pt>
                <c:pt idx="78">
                  <c:v>119.44444444444444</c:v>
                </c:pt>
                <c:pt idx="79">
                  <c:v>110.8433734939759</c:v>
                </c:pt>
                <c:pt idx="80">
                  <c:v>125.84269662921348</c:v>
                </c:pt>
                <c:pt idx="81">
                  <c:v>84.375</c:v>
                </c:pt>
                <c:pt idx="82">
                  <c:v>89.887640449438194</c:v>
                </c:pt>
                <c:pt idx="83">
                  <c:v>134.375</c:v>
                </c:pt>
                <c:pt idx="84">
                  <c:v>130.30303030303031</c:v>
                </c:pt>
                <c:pt idx="85">
                  <c:v>61.165048543689316</c:v>
                </c:pt>
                <c:pt idx="86">
                  <c:v>144.04761904761904</c:v>
                </c:pt>
                <c:pt idx="87">
                  <c:v>107.07964601769913</c:v>
                </c:pt>
                <c:pt idx="88">
                  <c:v>97.647058823529406</c:v>
                </c:pt>
                <c:pt idx="89">
                  <c:v>140.74074074074073</c:v>
                </c:pt>
                <c:pt idx="90">
                  <c:v>73.91304347826086</c:v>
                </c:pt>
                <c:pt idx="91">
                  <c:v>68.888888888888886</c:v>
                </c:pt>
                <c:pt idx="92">
                  <c:v>88.235294117647058</c:v>
                </c:pt>
                <c:pt idx="93">
                  <c:v>104.21052631578947</c:v>
                </c:pt>
                <c:pt idx="94">
                  <c:v>86.36363636363636</c:v>
                </c:pt>
                <c:pt idx="95">
                  <c:v>92.222222222222229</c:v>
                </c:pt>
                <c:pt idx="96">
                  <c:v>68.421052631578945</c:v>
                </c:pt>
                <c:pt idx="97">
                  <c:v>143.67816091954023</c:v>
                </c:pt>
                <c:pt idx="98">
                  <c:v>75.903614457831324</c:v>
                </c:pt>
                <c:pt idx="99">
                  <c:v>54.621848739495796</c:v>
                </c:pt>
              </c:numCache>
            </c:numRef>
          </c:xVal>
          <c:yVal>
            <c:numRef>
              <c:f>'Employee Performance and Attend'!$H$2:$H$101</c:f>
              <c:numCache>
                <c:formatCode>General</c:formatCode>
                <c:ptCount val="100"/>
                <c:pt idx="0">
                  <c:v>68.181818181818173</c:v>
                </c:pt>
                <c:pt idx="1">
                  <c:v>68.181818181818173</c:v>
                </c:pt>
                <c:pt idx="2">
                  <c:v>100</c:v>
                </c:pt>
                <c:pt idx="3">
                  <c:v>68.181818181818173</c:v>
                </c:pt>
                <c:pt idx="4">
                  <c:v>90.909090909090907</c:v>
                </c:pt>
                <c:pt idx="5">
                  <c:v>86.36363636363636</c:v>
                </c:pt>
                <c:pt idx="6">
                  <c:v>90.909090909090907</c:v>
                </c:pt>
                <c:pt idx="7">
                  <c:v>72.727272727272734</c:v>
                </c:pt>
                <c:pt idx="8">
                  <c:v>81.818181818181827</c:v>
                </c:pt>
                <c:pt idx="9">
                  <c:v>86.36363636363636</c:v>
                </c:pt>
                <c:pt idx="10">
                  <c:v>100</c:v>
                </c:pt>
                <c:pt idx="11">
                  <c:v>86.36363636363636</c:v>
                </c:pt>
                <c:pt idx="12">
                  <c:v>86.36363636363636</c:v>
                </c:pt>
                <c:pt idx="13">
                  <c:v>95.454545454545453</c:v>
                </c:pt>
                <c:pt idx="14">
                  <c:v>86.36363636363636</c:v>
                </c:pt>
                <c:pt idx="15">
                  <c:v>100</c:v>
                </c:pt>
                <c:pt idx="16">
                  <c:v>90.909090909090907</c:v>
                </c:pt>
                <c:pt idx="17">
                  <c:v>86.36363636363636</c:v>
                </c:pt>
                <c:pt idx="18">
                  <c:v>77.272727272727266</c:v>
                </c:pt>
                <c:pt idx="19">
                  <c:v>81.818181818181827</c:v>
                </c:pt>
                <c:pt idx="20">
                  <c:v>86.36363636363636</c:v>
                </c:pt>
                <c:pt idx="21">
                  <c:v>81.818181818181827</c:v>
                </c:pt>
                <c:pt idx="22">
                  <c:v>77.272727272727266</c:v>
                </c:pt>
                <c:pt idx="23">
                  <c:v>77.272727272727266</c:v>
                </c:pt>
                <c:pt idx="24">
                  <c:v>81.818181818181827</c:v>
                </c:pt>
                <c:pt idx="25">
                  <c:v>68.181818181818173</c:v>
                </c:pt>
                <c:pt idx="26">
                  <c:v>72.727272727272734</c:v>
                </c:pt>
                <c:pt idx="27">
                  <c:v>95.454545454545453</c:v>
                </c:pt>
                <c:pt idx="28">
                  <c:v>68.181818181818173</c:v>
                </c:pt>
                <c:pt idx="29">
                  <c:v>68.181818181818173</c:v>
                </c:pt>
                <c:pt idx="30">
                  <c:v>90.909090909090907</c:v>
                </c:pt>
                <c:pt idx="31">
                  <c:v>95.454545454545453</c:v>
                </c:pt>
                <c:pt idx="32">
                  <c:v>95.454545454545453</c:v>
                </c:pt>
                <c:pt idx="33">
                  <c:v>68.181818181818173</c:v>
                </c:pt>
                <c:pt idx="34">
                  <c:v>86.36363636363636</c:v>
                </c:pt>
                <c:pt idx="35">
                  <c:v>90.909090909090907</c:v>
                </c:pt>
                <c:pt idx="36">
                  <c:v>90.909090909090907</c:v>
                </c:pt>
                <c:pt idx="37">
                  <c:v>77.272727272727266</c:v>
                </c:pt>
                <c:pt idx="38">
                  <c:v>100</c:v>
                </c:pt>
                <c:pt idx="39">
                  <c:v>95.454545454545453</c:v>
                </c:pt>
                <c:pt idx="40">
                  <c:v>68.181818181818173</c:v>
                </c:pt>
                <c:pt idx="41">
                  <c:v>77.272727272727266</c:v>
                </c:pt>
                <c:pt idx="42">
                  <c:v>81.818181818181827</c:v>
                </c:pt>
                <c:pt idx="43">
                  <c:v>72.727272727272734</c:v>
                </c:pt>
                <c:pt idx="44">
                  <c:v>100</c:v>
                </c:pt>
                <c:pt idx="45">
                  <c:v>100</c:v>
                </c:pt>
                <c:pt idx="46">
                  <c:v>100</c:v>
                </c:pt>
                <c:pt idx="47">
                  <c:v>90.909090909090907</c:v>
                </c:pt>
                <c:pt idx="48">
                  <c:v>81.818181818181827</c:v>
                </c:pt>
                <c:pt idx="49">
                  <c:v>100</c:v>
                </c:pt>
                <c:pt idx="50">
                  <c:v>81.818181818181827</c:v>
                </c:pt>
                <c:pt idx="51">
                  <c:v>86.36363636363636</c:v>
                </c:pt>
                <c:pt idx="52">
                  <c:v>100</c:v>
                </c:pt>
                <c:pt idx="53">
                  <c:v>72.727272727272734</c:v>
                </c:pt>
                <c:pt idx="54">
                  <c:v>81.818181818181827</c:v>
                </c:pt>
                <c:pt idx="55">
                  <c:v>81.818181818181827</c:v>
                </c:pt>
                <c:pt idx="56">
                  <c:v>72.727272727272734</c:v>
                </c:pt>
                <c:pt idx="57">
                  <c:v>100</c:v>
                </c:pt>
                <c:pt idx="58">
                  <c:v>72.727272727272734</c:v>
                </c:pt>
                <c:pt idx="59">
                  <c:v>81.818181818181827</c:v>
                </c:pt>
                <c:pt idx="60">
                  <c:v>72.727272727272734</c:v>
                </c:pt>
                <c:pt idx="61">
                  <c:v>81.818181818181827</c:v>
                </c:pt>
                <c:pt idx="62">
                  <c:v>81.818181818181827</c:v>
                </c:pt>
                <c:pt idx="63">
                  <c:v>86.36363636363636</c:v>
                </c:pt>
                <c:pt idx="64">
                  <c:v>68.181818181818173</c:v>
                </c:pt>
                <c:pt idx="65">
                  <c:v>81.818181818181827</c:v>
                </c:pt>
                <c:pt idx="66">
                  <c:v>100</c:v>
                </c:pt>
                <c:pt idx="67">
                  <c:v>77.272727272727266</c:v>
                </c:pt>
                <c:pt idx="68">
                  <c:v>90.909090909090907</c:v>
                </c:pt>
                <c:pt idx="69">
                  <c:v>95.454545454545453</c:v>
                </c:pt>
                <c:pt idx="70">
                  <c:v>68.181818181818173</c:v>
                </c:pt>
                <c:pt idx="71">
                  <c:v>68.181818181818173</c:v>
                </c:pt>
                <c:pt idx="72">
                  <c:v>68.181818181818173</c:v>
                </c:pt>
                <c:pt idx="73">
                  <c:v>86.36363636363636</c:v>
                </c:pt>
                <c:pt idx="74">
                  <c:v>81.818181818181827</c:v>
                </c:pt>
                <c:pt idx="75">
                  <c:v>86.36363636363636</c:v>
                </c:pt>
                <c:pt idx="76">
                  <c:v>81.818181818181827</c:v>
                </c:pt>
                <c:pt idx="77">
                  <c:v>100</c:v>
                </c:pt>
                <c:pt idx="78">
                  <c:v>86.36363636363636</c:v>
                </c:pt>
                <c:pt idx="79">
                  <c:v>86.36363636363636</c:v>
                </c:pt>
                <c:pt idx="80">
                  <c:v>90.909090909090907</c:v>
                </c:pt>
                <c:pt idx="81">
                  <c:v>77.272727272727266</c:v>
                </c:pt>
                <c:pt idx="82">
                  <c:v>86.36363636363636</c:v>
                </c:pt>
                <c:pt idx="83">
                  <c:v>90.909090909090907</c:v>
                </c:pt>
                <c:pt idx="84">
                  <c:v>72.727272727272734</c:v>
                </c:pt>
                <c:pt idx="85">
                  <c:v>77.272727272727266</c:v>
                </c:pt>
                <c:pt idx="86">
                  <c:v>100</c:v>
                </c:pt>
                <c:pt idx="87">
                  <c:v>86.36363636363636</c:v>
                </c:pt>
                <c:pt idx="88">
                  <c:v>95.454545454545453</c:v>
                </c:pt>
                <c:pt idx="89">
                  <c:v>68.181818181818173</c:v>
                </c:pt>
                <c:pt idx="90">
                  <c:v>72.727272727272734</c:v>
                </c:pt>
                <c:pt idx="91">
                  <c:v>72.727272727272734</c:v>
                </c:pt>
                <c:pt idx="92">
                  <c:v>100</c:v>
                </c:pt>
                <c:pt idx="93">
                  <c:v>90.909090909090907</c:v>
                </c:pt>
                <c:pt idx="94">
                  <c:v>72.727272727272734</c:v>
                </c:pt>
                <c:pt idx="95">
                  <c:v>77.272727272727266</c:v>
                </c:pt>
                <c:pt idx="96">
                  <c:v>86.36363636363636</c:v>
                </c:pt>
                <c:pt idx="97">
                  <c:v>86.36363636363636</c:v>
                </c:pt>
                <c:pt idx="98">
                  <c:v>95.454545454545453</c:v>
                </c:pt>
                <c:pt idx="99">
                  <c:v>100</c:v>
                </c:pt>
              </c:numCache>
            </c:numRef>
          </c:yVal>
          <c:smooth val="0"/>
          <c:extLst>
            <c:ext xmlns:c16="http://schemas.microsoft.com/office/drawing/2014/chart" uri="{C3380CC4-5D6E-409C-BE32-E72D297353CC}">
              <c16:uniqueId val="{00000000-116E-467C-8C3D-B2228EBB6797}"/>
            </c:ext>
          </c:extLst>
        </c:ser>
        <c:ser>
          <c:idx val="2"/>
          <c:order val="2"/>
          <c:tx>
            <c:strRef>
              <c:f>'Employee Performance and Attend'!$G$1</c:f>
              <c:strCache>
                <c:ptCount val="1"/>
                <c:pt idx="0">
                  <c:v>Performance Achivement %</c:v>
                </c:pt>
              </c:strCache>
            </c:strRef>
          </c:tx>
          <c:spPr>
            <a:ln w="25400" cap="rnd">
              <a:noFill/>
              <a:round/>
            </a:ln>
            <a:effectLst/>
          </c:spPr>
          <c:marker>
            <c:symbol val="triangle"/>
            <c:size val="6"/>
            <c:spPr>
              <a:solidFill>
                <a:schemeClr val="accent3"/>
              </a:solidFill>
              <a:ln w="9525">
                <a:solidFill>
                  <a:schemeClr val="accent3"/>
                </a:solidFill>
                <a:round/>
              </a:ln>
              <a:effectLst/>
            </c:spPr>
          </c:marker>
          <c:xVal>
            <c:numRef>
              <c:f>'Employee Performance and Attend'!$G$2:$G$101</c:f>
              <c:numCache>
                <c:formatCode>General</c:formatCode>
                <c:ptCount val="100"/>
                <c:pt idx="0">
                  <c:v>56.25</c:v>
                </c:pt>
                <c:pt idx="1">
                  <c:v>143.75</c:v>
                </c:pt>
                <c:pt idx="2">
                  <c:v>86.597938144329902</c:v>
                </c:pt>
                <c:pt idx="3">
                  <c:v>113.51351351351352</c:v>
                </c:pt>
                <c:pt idx="4">
                  <c:v>140</c:v>
                </c:pt>
                <c:pt idx="5">
                  <c:v>86</c:v>
                </c:pt>
                <c:pt idx="6">
                  <c:v>86.666666666666671</c:v>
                </c:pt>
                <c:pt idx="7">
                  <c:v>104.80769230769231</c:v>
                </c:pt>
                <c:pt idx="8">
                  <c:v>118.8118811881188</c:v>
                </c:pt>
                <c:pt idx="9">
                  <c:v>103.77358490566037</c:v>
                </c:pt>
                <c:pt idx="10">
                  <c:v>84.782608695652172</c:v>
                </c:pt>
                <c:pt idx="11">
                  <c:v>71.428571428571431</c:v>
                </c:pt>
                <c:pt idx="12">
                  <c:v>56.637168141592923</c:v>
                </c:pt>
                <c:pt idx="13">
                  <c:v>88.596491228070178</c:v>
                </c:pt>
                <c:pt idx="14">
                  <c:v>150</c:v>
                </c:pt>
                <c:pt idx="15">
                  <c:v>81</c:v>
                </c:pt>
                <c:pt idx="16">
                  <c:v>94.117647058823522</c:v>
                </c:pt>
                <c:pt idx="17">
                  <c:v>120.56074766355141</c:v>
                </c:pt>
                <c:pt idx="18">
                  <c:v>62.5</c:v>
                </c:pt>
                <c:pt idx="19">
                  <c:v>76.19047619047619</c:v>
                </c:pt>
                <c:pt idx="20">
                  <c:v>64.545454545454547</c:v>
                </c:pt>
                <c:pt idx="21">
                  <c:v>125</c:v>
                </c:pt>
                <c:pt idx="22">
                  <c:v>79.487179487179489</c:v>
                </c:pt>
                <c:pt idx="23">
                  <c:v>131.70731707317074</c:v>
                </c:pt>
                <c:pt idx="24">
                  <c:v>101.96078431372548</c:v>
                </c:pt>
                <c:pt idx="25">
                  <c:v>74.137931034482762</c:v>
                </c:pt>
                <c:pt idx="26">
                  <c:v>73.275862068965509</c:v>
                </c:pt>
                <c:pt idx="27">
                  <c:v>119.10112359550563</c:v>
                </c:pt>
                <c:pt idx="28">
                  <c:v>129.21348314606743</c:v>
                </c:pt>
                <c:pt idx="29">
                  <c:v>124.48979591836735</c:v>
                </c:pt>
                <c:pt idx="30">
                  <c:v>111.45833333333333</c:v>
                </c:pt>
                <c:pt idx="31">
                  <c:v>120</c:v>
                </c:pt>
                <c:pt idx="32">
                  <c:v>91.397849462365585</c:v>
                </c:pt>
                <c:pt idx="33">
                  <c:v>107.95454545454545</c:v>
                </c:pt>
                <c:pt idx="34">
                  <c:v>75</c:v>
                </c:pt>
                <c:pt idx="35">
                  <c:v>72.826086956521735</c:v>
                </c:pt>
                <c:pt idx="36">
                  <c:v>133.73493975903614</c:v>
                </c:pt>
                <c:pt idx="37">
                  <c:v>132.5</c:v>
                </c:pt>
                <c:pt idx="38">
                  <c:v>96.638655462184872</c:v>
                </c:pt>
                <c:pt idx="39">
                  <c:v>65.765765765765778</c:v>
                </c:pt>
                <c:pt idx="40">
                  <c:v>76.991150442477874</c:v>
                </c:pt>
                <c:pt idx="41">
                  <c:v>57.009345794392516</c:v>
                </c:pt>
                <c:pt idx="42">
                  <c:v>77.272727272727266</c:v>
                </c:pt>
                <c:pt idx="43">
                  <c:v>83.908045977011497</c:v>
                </c:pt>
                <c:pt idx="44">
                  <c:v>100</c:v>
                </c:pt>
                <c:pt idx="45">
                  <c:v>109.52380952380953</c:v>
                </c:pt>
                <c:pt idx="46">
                  <c:v>58.407079646017699</c:v>
                </c:pt>
                <c:pt idx="47">
                  <c:v>75.609756097560975</c:v>
                </c:pt>
                <c:pt idx="48">
                  <c:v>90.109890109890117</c:v>
                </c:pt>
                <c:pt idx="49">
                  <c:v>96.25</c:v>
                </c:pt>
                <c:pt idx="50">
                  <c:v>115.47619047619047</c:v>
                </c:pt>
                <c:pt idx="51">
                  <c:v>67.889908256880744</c:v>
                </c:pt>
                <c:pt idx="52">
                  <c:v>112.8440366972477</c:v>
                </c:pt>
                <c:pt idx="53">
                  <c:v>90.625</c:v>
                </c:pt>
                <c:pt idx="54">
                  <c:v>96.078431372549019</c:v>
                </c:pt>
                <c:pt idx="55">
                  <c:v>123.40425531914893</c:v>
                </c:pt>
                <c:pt idx="56">
                  <c:v>65.517241379310349</c:v>
                </c:pt>
                <c:pt idx="57">
                  <c:v>103</c:v>
                </c:pt>
                <c:pt idx="58">
                  <c:v>90.322580645161281</c:v>
                </c:pt>
                <c:pt idx="59">
                  <c:v>93.827160493827151</c:v>
                </c:pt>
                <c:pt idx="60">
                  <c:v>80</c:v>
                </c:pt>
                <c:pt idx="61">
                  <c:v>71.186440677966104</c:v>
                </c:pt>
                <c:pt idx="62">
                  <c:v>108.54700854700855</c:v>
                </c:pt>
                <c:pt idx="63">
                  <c:v>61.06194690265486</c:v>
                </c:pt>
                <c:pt idx="64">
                  <c:v>107.69230769230769</c:v>
                </c:pt>
                <c:pt idx="65">
                  <c:v>68.141592920353972</c:v>
                </c:pt>
                <c:pt idx="66">
                  <c:v>95.876288659793815</c:v>
                </c:pt>
                <c:pt idx="67">
                  <c:v>61.467889908256879</c:v>
                </c:pt>
                <c:pt idx="68">
                  <c:v>105.31914893617021</c:v>
                </c:pt>
                <c:pt idx="69">
                  <c:v>95.283018867924525</c:v>
                </c:pt>
                <c:pt idx="70">
                  <c:v>88.495575221238937</c:v>
                </c:pt>
                <c:pt idx="71">
                  <c:v>55.555555555555557</c:v>
                </c:pt>
                <c:pt idx="72">
                  <c:v>99.107142857142861</c:v>
                </c:pt>
                <c:pt idx="73">
                  <c:v>82.524271844660191</c:v>
                </c:pt>
                <c:pt idx="74">
                  <c:v>130.85106382978725</c:v>
                </c:pt>
                <c:pt idx="75">
                  <c:v>108.25688073394495</c:v>
                </c:pt>
                <c:pt idx="76">
                  <c:v>119.79166666666667</c:v>
                </c:pt>
                <c:pt idx="77">
                  <c:v>140.47619047619045</c:v>
                </c:pt>
                <c:pt idx="78">
                  <c:v>119.44444444444444</c:v>
                </c:pt>
                <c:pt idx="79">
                  <c:v>110.8433734939759</c:v>
                </c:pt>
                <c:pt idx="80">
                  <c:v>125.84269662921348</c:v>
                </c:pt>
                <c:pt idx="81">
                  <c:v>84.375</c:v>
                </c:pt>
                <c:pt idx="82">
                  <c:v>89.887640449438194</c:v>
                </c:pt>
                <c:pt idx="83">
                  <c:v>134.375</c:v>
                </c:pt>
                <c:pt idx="84">
                  <c:v>130.30303030303031</c:v>
                </c:pt>
                <c:pt idx="85">
                  <c:v>61.165048543689316</c:v>
                </c:pt>
                <c:pt idx="86">
                  <c:v>144.04761904761904</c:v>
                </c:pt>
                <c:pt idx="87">
                  <c:v>107.07964601769913</c:v>
                </c:pt>
                <c:pt idx="88">
                  <c:v>97.647058823529406</c:v>
                </c:pt>
                <c:pt idx="89">
                  <c:v>140.74074074074073</c:v>
                </c:pt>
                <c:pt idx="90">
                  <c:v>73.91304347826086</c:v>
                </c:pt>
                <c:pt idx="91">
                  <c:v>68.888888888888886</c:v>
                </c:pt>
                <c:pt idx="92">
                  <c:v>88.235294117647058</c:v>
                </c:pt>
                <c:pt idx="93">
                  <c:v>104.21052631578947</c:v>
                </c:pt>
                <c:pt idx="94">
                  <c:v>86.36363636363636</c:v>
                </c:pt>
                <c:pt idx="95">
                  <c:v>92.222222222222229</c:v>
                </c:pt>
                <c:pt idx="96">
                  <c:v>68.421052631578945</c:v>
                </c:pt>
                <c:pt idx="97">
                  <c:v>143.67816091954023</c:v>
                </c:pt>
                <c:pt idx="98">
                  <c:v>75.903614457831324</c:v>
                </c:pt>
                <c:pt idx="99">
                  <c:v>54.621848739495796</c:v>
                </c:pt>
              </c:numCache>
            </c:numRef>
          </c:xVal>
          <c:yVal>
            <c:numLit>
              <c:formatCode>General</c:formatCode>
              <c:ptCount val="1"/>
              <c:pt idx="0">
                <c:v>1</c:v>
              </c:pt>
            </c:numLit>
          </c:yVal>
          <c:smooth val="0"/>
          <c:extLst>
            <c:ext xmlns:c16="http://schemas.microsoft.com/office/drawing/2014/chart" uri="{C3380CC4-5D6E-409C-BE32-E72D297353CC}">
              <c16:uniqueId val="{00000001-AB6B-4E77-B581-7AF04C1EFA54}"/>
            </c:ext>
          </c:extLst>
        </c:ser>
        <c:dLbls>
          <c:showLegendKey val="0"/>
          <c:showVal val="0"/>
          <c:showCatName val="0"/>
          <c:showSerName val="0"/>
          <c:showPercent val="0"/>
          <c:showBubbleSize val="0"/>
        </c:dLbls>
        <c:axId val="560955920"/>
        <c:axId val="560958320"/>
        <c:extLst>
          <c:ext xmlns:c15="http://schemas.microsoft.com/office/drawing/2012/chart" uri="{02D57815-91ED-43cb-92C2-25804820EDAC}">
            <c15:filteredScatterSeries>
              <c15:ser>
                <c:idx val="1"/>
                <c:order val="1"/>
                <c:tx>
                  <c:strRef>
                    <c:extLst>
                      <c:ext uri="{02D57815-91ED-43cb-92C2-25804820EDAC}">
                        <c15:formulaRef>
                          <c15:sqref>'Employee Performance and Attend'!$G$2</c15:sqref>
                        </c15:formulaRef>
                      </c:ext>
                    </c:extLst>
                    <c:strCache>
                      <c:ptCount val="1"/>
                      <c:pt idx="0">
                        <c:v>56.25</c:v>
                      </c:pt>
                    </c:strCache>
                  </c:strRef>
                </c:tx>
                <c:spPr>
                  <a:ln w="25400" cap="rnd">
                    <a:noFill/>
                    <a:round/>
                  </a:ln>
                  <a:effectLst/>
                </c:spPr>
                <c:marker>
                  <c:symbol val="square"/>
                  <c:size val="6"/>
                  <c:spPr>
                    <a:solidFill>
                      <a:schemeClr val="accent2"/>
                    </a:solidFill>
                    <a:ln w="9525">
                      <a:solidFill>
                        <a:schemeClr val="accent2"/>
                      </a:solidFill>
                      <a:round/>
                    </a:ln>
                    <a:effectLst/>
                  </c:spPr>
                </c:marker>
                <c:yVal>
                  <c:numLit>
                    <c:formatCode>General</c:formatCode>
                    <c:ptCount val="1"/>
                    <c:pt idx="0">
                      <c:v>1</c:v>
                    </c:pt>
                  </c:numLit>
                </c:yVal>
                <c:smooth val="0"/>
                <c:extLst>
                  <c:ext xmlns:c16="http://schemas.microsoft.com/office/drawing/2014/chart" uri="{C3380CC4-5D6E-409C-BE32-E72D297353CC}">
                    <c16:uniqueId val="{00000000-AB6B-4E77-B581-7AF04C1EFA54}"/>
                  </c:ext>
                </c:extLst>
              </c15:ser>
            </c15:filteredScatterSeries>
          </c:ext>
        </c:extLst>
      </c:scatterChart>
      <c:valAx>
        <c:axId val="560955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560958320"/>
        <c:crosses val="autoZero"/>
        <c:crossBetween val="midCat"/>
      </c:valAx>
      <c:valAx>
        <c:axId val="56095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55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a:t>
            </a:r>
            <a:r>
              <a:rPr lang="en-US"/>
              <a:t>Performance Achivement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'top10'!$B$1</c:f>
              <c:strCache>
                <c:ptCount val="1"/>
                <c:pt idx="0">
                  <c:v>Performance Achivement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'top10'!$A$2:$A$11</c:f>
              <c:strCache>
                <c:ptCount val="10"/>
                <c:pt idx="0">
                  <c:v>Employee_5</c:v>
                </c:pt>
                <c:pt idx="1">
                  <c:v>Employee_86</c:v>
                </c:pt>
                <c:pt idx="2">
                  <c:v>Employee_58</c:v>
                </c:pt>
                <c:pt idx="3">
                  <c:v>Employee_97</c:v>
                </c:pt>
                <c:pt idx="4">
                  <c:v>Employee_89</c:v>
                </c:pt>
                <c:pt idx="5">
                  <c:v>Employee_77</c:v>
                </c:pt>
                <c:pt idx="6">
                  <c:v>Employee_42</c:v>
                </c:pt>
                <c:pt idx="7">
                  <c:v>Employee_51</c:v>
                </c:pt>
                <c:pt idx="8">
                  <c:v>Employee_36</c:v>
                </c:pt>
                <c:pt idx="9">
                  <c:v>Employee_7</c:v>
                </c:pt>
              </c:strCache>
            </c:strRef>
          </c:cat>
          <c:val>
            <c:numRef>
              <c:f>'top10'!$B$2:$B$11</c:f>
              <c:numCache>
                <c:formatCode>General</c:formatCode>
                <c:ptCount val="10"/>
                <c:pt idx="0">
                  <c:v>140.47619047619045</c:v>
                </c:pt>
                <c:pt idx="1">
                  <c:v>143.75</c:v>
                </c:pt>
                <c:pt idx="2">
                  <c:v>88.495575221238937</c:v>
                </c:pt>
                <c:pt idx="3">
                  <c:v>56.25</c:v>
                </c:pt>
                <c:pt idx="4">
                  <c:v>125</c:v>
                </c:pt>
                <c:pt idx="5">
                  <c:v>74.137931034482762</c:v>
                </c:pt>
                <c:pt idx="6">
                  <c:v>99.107142857142861</c:v>
                </c:pt>
                <c:pt idx="7">
                  <c:v>92.222222222222229</c:v>
                </c:pt>
                <c:pt idx="8">
                  <c:v>71.428571428571431</c:v>
                </c:pt>
                <c:pt idx="9">
                  <c:v>67.889908256880744</c:v>
                </c:pt>
              </c:numCache>
            </c:numRef>
          </c:val>
          <c:extLst>
            <c:ext xmlns:c16="http://schemas.microsoft.com/office/drawing/2014/chart" uri="{C3380CC4-5D6E-409C-BE32-E72D297353CC}">
              <c16:uniqueId val="{00000000-0B0C-4727-8FAB-10CC912A332B}"/>
            </c:ext>
          </c:extLst>
        </c:ser>
        <c:dLbls>
          <c:showLegendKey val="0"/>
          <c:showVal val="0"/>
          <c:showCatName val="0"/>
          <c:showSerName val="0"/>
          <c:showPercent val="0"/>
          <c:showBubbleSize val="0"/>
        </c:dLbls>
        <c:gapWidth val="100"/>
        <c:overlap val="-24"/>
        <c:axId val="456339872"/>
        <c:axId val="456336992"/>
      </c:barChart>
      <c:catAx>
        <c:axId val="456339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336992"/>
        <c:crosses val="autoZero"/>
        <c:auto val="1"/>
        <c:lblAlgn val="ctr"/>
        <c:lblOffset val="100"/>
        <c:noMultiLvlLbl val="0"/>
      </c:catAx>
      <c:valAx>
        <c:axId val="456336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33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1.xlsx]underperformer!PivotTable3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Underperformers by Department</a:t>
            </a:r>
            <a:r>
              <a:rPr lang="en-IN" sz="1400" b="0" i="0" u="none" strike="noStrike"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underperformer!$B$34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underperformer!$A$35:$A$40</c:f>
              <c:strCache>
                <c:ptCount val="5"/>
                <c:pt idx="0">
                  <c:v>Finance</c:v>
                </c:pt>
                <c:pt idx="1">
                  <c:v>HR</c:v>
                </c:pt>
                <c:pt idx="2">
                  <c:v>IT</c:v>
                </c:pt>
                <c:pt idx="3">
                  <c:v>Marketing</c:v>
                </c:pt>
                <c:pt idx="4">
                  <c:v>Sales</c:v>
                </c:pt>
              </c:strCache>
            </c:strRef>
          </c:cat>
          <c:val>
            <c:numRef>
              <c:f>underperformer!$B$35:$B$40</c:f>
              <c:numCache>
                <c:formatCode>General</c:formatCode>
                <c:ptCount val="5"/>
                <c:pt idx="0">
                  <c:v>10</c:v>
                </c:pt>
                <c:pt idx="1">
                  <c:v>5</c:v>
                </c:pt>
                <c:pt idx="2">
                  <c:v>5</c:v>
                </c:pt>
                <c:pt idx="3">
                  <c:v>6</c:v>
                </c:pt>
                <c:pt idx="4">
                  <c:v>4</c:v>
                </c:pt>
              </c:numCache>
            </c:numRef>
          </c:val>
          <c:extLst>
            <c:ext xmlns:c16="http://schemas.microsoft.com/office/drawing/2014/chart" uri="{C3380CC4-5D6E-409C-BE32-E72D297353CC}">
              <c16:uniqueId val="{00000000-1F39-4EBA-A1AB-68529BF67389}"/>
            </c:ext>
          </c:extLst>
        </c:ser>
        <c:dLbls>
          <c:dLblPos val="outEnd"/>
          <c:showLegendKey val="0"/>
          <c:showVal val="1"/>
          <c:showCatName val="0"/>
          <c:showSerName val="0"/>
          <c:showPercent val="0"/>
          <c:showBubbleSize val="0"/>
        </c:dLbls>
        <c:gapWidth val="219"/>
        <c:overlap val="-27"/>
        <c:axId val="647669440"/>
        <c:axId val="647666560"/>
      </c:barChart>
      <c:catAx>
        <c:axId val="6476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666560"/>
        <c:crosses val="autoZero"/>
        <c:auto val="1"/>
        <c:lblAlgn val="ctr"/>
        <c:lblOffset val="100"/>
        <c:noMultiLvlLbl val="0"/>
      </c:catAx>
      <c:valAx>
        <c:axId val="64766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669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miniproject 1.xlsx]Department Performance!PivotTable1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Performance'!$B$1</c:f>
              <c:strCache>
                <c:ptCount val="1"/>
                <c:pt idx="0">
                  <c:v>Average of Monthly Target</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Performance'!$A$2</c:f>
              <c:strCache>
                <c:ptCount val="1"/>
                <c:pt idx="0">
                  <c:v>Grand Total</c:v>
                </c:pt>
              </c:strCache>
            </c:strRef>
          </c:cat>
          <c:val>
            <c:numRef>
              <c:f>'Department Performance'!$B$2</c:f>
              <c:numCache>
                <c:formatCode>General</c:formatCode>
                <c:ptCount val="1"/>
              </c:numCache>
            </c:numRef>
          </c:val>
          <c:extLst>
            <c:ext xmlns:c16="http://schemas.microsoft.com/office/drawing/2014/chart" uri="{C3380CC4-5D6E-409C-BE32-E72D297353CC}">
              <c16:uniqueId val="{00000000-D6A2-4C2A-BBE0-BB54FCE841BA}"/>
            </c:ext>
          </c:extLst>
        </c:ser>
        <c:ser>
          <c:idx val="1"/>
          <c:order val="1"/>
          <c:tx>
            <c:strRef>
              <c:f>'Department Performance'!$C$1</c:f>
              <c:strCache>
                <c:ptCount val="1"/>
                <c:pt idx="0">
                  <c:v>Average of Actual Performance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Performance'!$A$2</c:f>
              <c:strCache>
                <c:ptCount val="1"/>
                <c:pt idx="0">
                  <c:v>Grand Total</c:v>
                </c:pt>
              </c:strCache>
            </c:strRef>
          </c:cat>
          <c:val>
            <c:numRef>
              <c:f>'Department Performance'!$C$2</c:f>
              <c:numCache>
                <c:formatCode>General</c:formatCode>
                <c:ptCount val="1"/>
              </c:numCache>
            </c:numRef>
          </c:val>
          <c:extLst>
            <c:ext xmlns:c16="http://schemas.microsoft.com/office/drawing/2014/chart" uri="{C3380CC4-5D6E-409C-BE32-E72D297353CC}">
              <c16:uniqueId val="{00000001-D6A2-4C2A-BBE0-BB54FCE841BA}"/>
            </c:ext>
          </c:extLst>
        </c:ser>
        <c:dLbls>
          <c:dLblPos val="inEnd"/>
          <c:showLegendKey val="0"/>
          <c:showVal val="1"/>
          <c:showCatName val="0"/>
          <c:showSerName val="0"/>
          <c:showPercent val="0"/>
          <c:showBubbleSize val="0"/>
        </c:dLbls>
        <c:gapWidth val="182"/>
        <c:axId val="559917584"/>
        <c:axId val="456594544"/>
      </c:barChart>
      <c:catAx>
        <c:axId val="55991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594544"/>
        <c:crosses val="autoZero"/>
        <c:auto val="1"/>
        <c:lblAlgn val="ctr"/>
        <c:lblOffset val="100"/>
        <c:noMultiLvlLbl val="0"/>
      </c:catAx>
      <c:valAx>
        <c:axId val="45659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91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1.xlsx]Department Attendance!PivotTable2</c:name>
    <c:fmtId val="6"/>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Attendance'!$B$3</c:f>
              <c:strCache>
                <c:ptCount val="1"/>
                <c:pt idx="0">
                  <c:v>Average of Attendance Rate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'Department Attendance'!$A$4</c:f>
              <c:strCache>
                <c:ptCount val="1"/>
                <c:pt idx="0">
                  <c:v>Grand Total</c:v>
                </c:pt>
              </c:strCache>
            </c:strRef>
          </c:cat>
          <c:val>
            <c:numRef>
              <c:f>'Department Attendance'!$B$4</c:f>
              <c:numCache>
                <c:formatCode>General</c:formatCode>
                <c:ptCount val="1"/>
              </c:numCache>
            </c:numRef>
          </c:val>
          <c:extLst>
            <c:ext xmlns:c16="http://schemas.microsoft.com/office/drawing/2014/chart" uri="{C3380CC4-5D6E-409C-BE32-E72D297353CC}">
              <c16:uniqueId val="{00000000-3D51-409A-8B34-AFB03815FF47}"/>
            </c:ext>
          </c:extLst>
        </c:ser>
        <c:ser>
          <c:idx val="1"/>
          <c:order val="1"/>
          <c:tx>
            <c:strRef>
              <c:f>'Department Attendance'!$C$3</c:f>
              <c:strCache>
                <c:ptCount val="1"/>
                <c:pt idx="0">
                  <c:v>Count of Attendance Category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'Department Attendance'!$A$4</c:f>
              <c:strCache>
                <c:ptCount val="1"/>
                <c:pt idx="0">
                  <c:v>Grand Total</c:v>
                </c:pt>
              </c:strCache>
            </c:strRef>
          </c:cat>
          <c:val>
            <c:numRef>
              <c:f>'Department Attendance'!$C$4</c:f>
              <c:numCache>
                <c:formatCode>General</c:formatCode>
                <c:ptCount val="1"/>
              </c:numCache>
            </c:numRef>
          </c:val>
          <c:extLst>
            <c:ext xmlns:c16="http://schemas.microsoft.com/office/drawing/2014/chart" uri="{C3380CC4-5D6E-409C-BE32-E72D297353CC}">
              <c16:uniqueId val="{00000001-3D51-409A-8B34-AFB03815FF47}"/>
            </c:ext>
          </c:extLst>
        </c:ser>
        <c:dLbls>
          <c:dLblPos val="outEnd"/>
          <c:showLegendKey val="0"/>
          <c:showVal val="1"/>
          <c:showCatName val="0"/>
          <c:showSerName val="0"/>
          <c:showPercent val="0"/>
          <c:showBubbleSize val="0"/>
        </c:dLbls>
        <c:gapWidth val="182"/>
        <c:overlap val="-50"/>
        <c:axId val="1325147808"/>
        <c:axId val="1325148288"/>
      </c:barChart>
      <c:catAx>
        <c:axId val="13251478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5148288"/>
        <c:crosses val="autoZero"/>
        <c:auto val="1"/>
        <c:lblAlgn val="ctr"/>
        <c:lblOffset val="100"/>
        <c:noMultiLvlLbl val="0"/>
      </c:catAx>
      <c:valAx>
        <c:axId val="132514828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5147808"/>
        <c:crosses val="autoZero"/>
        <c:crossBetween val="between"/>
      </c:valAx>
      <c:spPr>
        <a:noFill/>
        <a:ln>
          <a:noFill/>
        </a:ln>
        <a:effectLst/>
      </c:spPr>
    </c:plotArea>
    <c:legend>
      <c:legendPos val="r"/>
      <c:layout>
        <c:manualLayout>
          <c:xMode val="edge"/>
          <c:yMode val="edge"/>
          <c:x val="0.76249999999999996"/>
          <c:y val="0.43409485272674248"/>
          <c:w val="0.22083333333333335"/>
          <c:h val="0.31958333333333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miniproject 1.xlsx]Department Performance!PivotTable1</c:name>
    <c:fmtId val="5"/>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98702327013595"/>
          <c:y val="0.18143311354373387"/>
          <c:w val="0.36608660120120901"/>
          <c:h val="0.6342967799756738"/>
        </c:manualLayout>
      </c:layout>
      <c:barChart>
        <c:barDir val="bar"/>
        <c:grouping val="clustered"/>
        <c:varyColors val="0"/>
        <c:ser>
          <c:idx val="0"/>
          <c:order val="0"/>
          <c:tx>
            <c:strRef>
              <c:f>'Department Performance'!$B$1</c:f>
              <c:strCache>
                <c:ptCount val="1"/>
                <c:pt idx="0">
                  <c:v>Average of Monthly Target</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'Department Performance'!$A$2</c:f>
              <c:strCache>
                <c:ptCount val="1"/>
                <c:pt idx="0">
                  <c:v>Grand Total</c:v>
                </c:pt>
              </c:strCache>
            </c:strRef>
          </c:cat>
          <c:val>
            <c:numRef>
              <c:f>'Department Performance'!$B$2</c:f>
              <c:numCache>
                <c:formatCode>General</c:formatCode>
                <c:ptCount val="1"/>
              </c:numCache>
            </c:numRef>
          </c:val>
          <c:extLst>
            <c:ext xmlns:c16="http://schemas.microsoft.com/office/drawing/2014/chart" uri="{C3380CC4-5D6E-409C-BE32-E72D297353CC}">
              <c16:uniqueId val="{00000000-282D-4409-A030-7A7D8C4F129F}"/>
            </c:ext>
          </c:extLst>
        </c:ser>
        <c:ser>
          <c:idx val="1"/>
          <c:order val="1"/>
          <c:tx>
            <c:strRef>
              <c:f>'Department Performance'!$C$1</c:f>
              <c:strCache>
                <c:ptCount val="1"/>
                <c:pt idx="0">
                  <c:v>Average of Actual Performance</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'Department Performance'!$A$2</c:f>
              <c:strCache>
                <c:ptCount val="1"/>
                <c:pt idx="0">
                  <c:v>Grand Total</c:v>
                </c:pt>
              </c:strCache>
            </c:strRef>
          </c:cat>
          <c:val>
            <c:numRef>
              <c:f>'Department Performance'!$C$2</c:f>
              <c:numCache>
                <c:formatCode>General</c:formatCode>
                <c:ptCount val="1"/>
              </c:numCache>
            </c:numRef>
          </c:val>
          <c:extLst>
            <c:ext xmlns:c16="http://schemas.microsoft.com/office/drawing/2014/chart" uri="{C3380CC4-5D6E-409C-BE32-E72D297353CC}">
              <c16:uniqueId val="{00000001-282D-4409-A030-7A7D8C4F129F}"/>
            </c:ext>
          </c:extLst>
        </c:ser>
        <c:dLbls>
          <c:dLblPos val="inEnd"/>
          <c:showLegendKey val="0"/>
          <c:showVal val="1"/>
          <c:showCatName val="0"/>
          <c:showSerName val="0"/>
          <c:showPercent val="0"/>
          <c:showBubbleSize val="0"/>
        </c:dLbls>
        <c:gapWidth val="65"/>
        <c:axId val="559917584"/>
        <c:axId val="456594544"/>
      </c:barChart>
      <c:catAx>
        <c:axId val="5599175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6594544"/>
        <c:crosses val="autoZero"/>
        <c:auto val="1"/>
        <c:lblAlgn val="ctr"/>
        <c:lblOffset val="100"/>
        <c:noMultiLvlLbl val="0"/>
      </c:catAx>
      <c:valAx>
        <c:axId val="4565945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9917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Attendance vs Performance</a:t>
            </a:r>
            <a:endParaRPr lang="en-US"/>
          </a:p>
        </c:rich>
      </c:tx>
      <c:layout>
        <c:manualLayout>
          <c:xMode val="edge"/>
          <c:yMode val="edge"/>
          <c:x val="0.11407073891347065"/>
          <c:y val="4.257907542579075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'Employee Performance and Attend'!$H$1</c:f>
              <c:strCache>
                <c:ptCount val="1"/>
                <c:pt idx="0">
                  <c:v>Attendance Rate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'Employee Performance and Attend'!$G$2:$G$101</c:f>
              <c:numCache>
                <c:formatCode>General</c:formatCode>
                <c:ptCount val="100"/>
                <c:pt idx="0">
                  <c:v>56.25</c:v>
                </c:pt>
                <c:pt idx="1">
                  <c:v>143.75</c:v>
                </c:pt>
                <c:pt idx="2">
                  <c:v>86.597938144329902</c:v>
                </c:pt>
                <c:pt idx="3">
                  <c:v>113.51351351351352</c:v>
                </c:pt>
                <c:pt idx="4">
                  <c:v>140</c:v>
                </c:pt>
                <c:pt idx="5">
                  <c:v>86</c:v>
                </c:pt>
                <c:pt idx="6">
                  <c:v>86.666666666666671</c:v>
                </c:pt>
                <c:pt idx="7">
                  <c:v>104.80769230769231</c:v>
                </c:pt>
                <c:pt idx="8">
                  <c:v>118.8118811881188</c:v>
                </c:pt>
                <c:pt idx="9">
                  <c:v>103.77358490566037</c:v>
                </c:pt>
                <c:pt idx="10">
                  <c:v>84.782608695652172</c:v>
                </c:pt>
                <c:pt idx="11">
                  <c:v>71.428571428571431</c:v>
                </c:pt>
                <c:pt idx="12">
                  <c:v>56.637168141592923</c:v>
                </c:pt>
                <c:pt idx="13">
                  <c:v>88.596491228070178</c:v>
                </c:pt>
                <c:pt idx="14">
                  <c:v>150</c:v>
                </c:pt>
                <c:pt idx="15">
                  <c:v>81</c:v>
                </c:pt>
                <c:pt idx="16">
                  <c:v>94.117647058823522</c:v>
                </c:pt>
                <c:pt idx="17">
                  <c:v>120.56074766355141</c:v>
                </c:pt>
                <c:pt idx="18">
                  <c:v>62.5</c:v>
                </c:pt>
                <c:pt idx="19">
                  <c:v>76.19047619047619</c:v>
                </c:pt>
                <c:pt idx="20">
                  <c:v>64.545454545454547</c:v>
                </c:pt>
                <c:pt idx="21">
                  <c:v>125</c:v>
                </c:pt>
                <c:pt idx="22">
                  <c:v>79.487179487179489</c:v>
                </c:pt>
                <c:pt idx="23">
                  <c:v>131.70731707317074</c:v>
                </c:pt>
                <c:pt idx="24">
                  <c:v>101.96078431372548</c:v>
                </c:pt>
                <c:pt idx="25">
                  <c:v>74.137931034482762</c:v>
                </c:pt>
                <c:pt idx="26">
                  <c:v>73.275862068965509</c:v>
                </c:pt>
                <c:pt idx="27">
                  <c:v>119.10112359550563</c:v>
                </c:pt>
                <c:pt idx="28">
                  <c:v>129.21348314606743</c:v>
                </c:pt>
                <c:pt idx="29">
                  <c:v>124.48979591836735</c:v>
                </c:pt>
                <c:pt idx="30">
                  <c:v>111.45833333333333</c:v>
                </c:pt>
                <c:pt idx="31">
                  <c:v>120</c:v>
                </c:pt>
                <c:pt idx="32">
                  <c:v>91.397849462365585</c:v>
                </c:pt>
                <c:pt idx="33">
                  <c:v>107.95454545454545</c:v>
                </c:pt>
                <c:pt idx="34">
                  <c:v>75</c:v>
                </c:pt>
                <c:pt idx="35">
                  <c:v>72.826086956521735</c:v>
                </c:pt>
                <c:pt idx="36">
                  <c:v>133.73493975903614</c:v>
                </c:pt>
                <c:pt idx="37">
                  <c:v>132.5</c:v>
                </c:pt>
                <c:pt idx="38">
                  <c:v>96.638655462184872</c:v>
                </c:pt>
                <c:pt idx="39">
                  <c:v>65.765765765765778</c:v>
                </c:pt>
                <c:pt idx="40">
                  <c:v>76.991150442477874</c:v>
                </c:pt>
                <c:pt idx="41">
                  <c:v>57.009345794392516</c:v>
                </c:pt>
                <c:pt idx="42">
                  <c:v>77.272727272727266</c:v>
                </c:pt>
                <c:pt idx="43">
                  <c:v>83.908045977011497</c:v>
                </c:pt>
                <c:pt idx="44">
                  <c:v>100</c:v>
                </c:pt>
                <c:pt idx="45">
                  <c:v>109.52380952380953</c:v>
                </c:pt>
                <c:pt idx="46">
                  <c:v>58.407079646017699</c:v>
                </c:pt>
                <c:pt idx="47">
                  <c:v>75.609756097560975</c:v>
                </c:pt>
                <c:pt idx="48">
                  <c:v>90.109890109890117</c:v>
                </c:pt>
                <c:pt idx="49">
                  <c:v>96.25</c:v>
                </c:pt>
                <c:pt idx="50">
                  <c:v>115.47619047619047</c:v>
                </c:pt>
                <c:pt idx="51">
                  <c:v>67.889908256880744</c:v>
                </c:pt>
                <c:pt idx="52">
                  <c:v>112.8440366972477</c:v>
                </c:pt>
                <c:pt idx="53">
                  <c:v>90.625</c:v>
                </c:pt>
                <c:pt idx="54">
                  <c:v>96.078431372549019</c:v>
                </c:pt>
                <c:pt idx="55">
                  <c:v>123.40425531914893</c:v>
                </c:pt>
                <c:pt idx="56">
                  <c:v>65.517241379310349</c:v>
                </c:pt>
                <c:pt idx="57">
                  <c:v>103</c:v>
                </c:pt>
                <c:pt idx="58">
                  <c:v>90.322580645161281</c:v>
                </c:pt>
                <c:pt idx="59">
                  <c:v>93.827160493827151</c:v>
                </c:pt>
                <c:pt idx="60">
                  <c:v>80</c:v>
                </c:pt>
                <c:pt idx="61">
                  <c:v>71.186440677966104</c:v>
                </c:pt>
                <c:pt idx="62">
                  <c:v>108.54700854700855</c:v>
                </c:pt>
                <c:pt idx="63">
                  <c:v>61.06194690265486</c:v>
                </c:pt>
                <c:pt idx="64">
                  <c:v>107.69230769230769</c:v>
                </c:pt>
                <c:pt idx="65">
                  <c:v>68.141592920353972</c:v>
                </c:pt>
                <c:pt idx="66">
                  <c:v>95.876288659793815</c:v>
                </c:pt>
                <c:pt idx="67">
                  <c:v>61.467889908256879</c:v>
                </c:pt>
                <c:pt idx="68">
                  <c:v>105.31914893617021</c:v>
                </c:pt>
                <c:pt idx="69">
                  <c:v>95.283018867924525</c:v>
                </c:pt>
                <c:pt idx="70">
                  <c:v>88.495575221238937</c:v>
                </c:pt>
                <c:pt idx="71">
                  <c:v>55.555555555555557</c:v>
                </c:pt>
                <c:pt idx="72">
                  <c:v>99.107142857142861</c:v>
                </c:pt>
                <c:pt idx="73">
                  <c:v>82.524271844660191</c:v>
                </c:pt>
                <c:pt idx="74">
                  <c:v>130.85106382978725</c:v>
                </c:pt>
                <c:pt idx="75">
                  <c:v>108.25688073394495</c:v>
                </c:pt>
                <c:pt idx="76">
                  <c:v>119.79166666666667</c:v>
                </c:pt>
                <c:pt idx="77">
                  <c:v>140.47619047619045</c:v>
                </c:pt>
                <c:pt idx="78">
                  <c:v>119.44444444444444</c:v>
                </c:pt>
                <c:pt idx="79">
                  <c:v>110.8433734939759</c:v>
                </c:pt>
                <c:pt idx="80">
                  <c:v>125.84269662921348</c:v>
                </c:pt>
                <c:pt idx="81">
                  <c:v>84.375</c:v>
                </c:pt>
                <c:pt idx="82">
                  <c:v>89.887640449438194</c:v>
                </c:pt>
                <c:pt idx="83">
                  <c:v>134.375</c:v>
                </c:pt>
                <c:pt idx="84">
                  <c:v>130.30303030303031</c:v>
                </c:pt>
                <c:pt idx="85">
                  <c:v>61.165048543689316</c:v>
                </c:pt>
                <c:pt idx="86">
                  <c:v>144.04761904761904</c:v>
                </c:pt>
                <c:pt idx="87">
                  <c:v>107.07964601769913</c:v>
                </c:pt>
                <c:pt idx="88">
                  <c:v>97.647058823529406</c:v>
                </c:pt>
                <c:pt idx="89">
                  <c:v>140.74074074074073</c:v>
                </c:pt>
                <c:pt idx="90">
                  <c:v>73.91304347826086</c:v>
                </c:pt>
                <c:pt idx="91">
                  <c:v>68.888888888888886</c:v>
                </c:pt>
                <c:pt idx="92">
                  <c:v>88.235294117647058</c:v>
                </c:pt>
                <c:pt idx="93">
                  <c:v>104.21052631578947</c:v>
                </c:pt>
                <c:pt idx="94">
                  <c:v>86.36363636363636</c:v>
                </c:pt>
                <c:pt idx="95">
                  <c:v>92.222222222222229</c:v>
                </c:pt>
                <c:pt idx="96">
                  <c:v>68.421052631578945</c:v>
                </c:pt>
                <c:pt idx="97">
                  <c:v>143.67816091954023</c:v>
                </c:pt>
                <c:pt idx="98">
                  <c:v>75.903614457831324</c:v>
                </c:pt>
                <c:pt idx="99">
                  <c:v>54.621848739495796</c:v>
                </c:pt>
              </c:numCache>
            </c:numRef>
          </c:xVal>
          <c:yVal>
            <c:numRef>
              <c:f>'Employee Performance and Attend'!$H$2:$H$101</c:f>
              <c:numCache>
                <c:formatCode>General</c:formatCode>
                <c:ptCount val="100"/>
                <c:pt idx="0">
                  <c:v>68.181818181818173</c:v>
                </c:pt>
                <c:pt idx="1">
                  <c:v>68.181818181818173</c:v>
                </c:pt>
                <c:pt idx="2">
                  <c:v>100</c:v>
                </c:pt>
                <c:pt idx="3">
                  <c:v>68.181818181818173</c:v>
                </c:pt>
                <c:pt idx="4">
                  <c:v>90.909090909090907</c:v>
                </c:pt>
                <c:pt idx="5">
                  <c:v>86.36363636363636</c:v>
                </c:pt>
                <c:pt idx="6">
                  <c:v>90.909090909090907</c:v>
                </c:pt>
                <c:pt idx="7">
                  <c:v>72.727272727272734</c:v>
                </c:pt>
                <c:pt idx="8">
                  <c:v>81.818181818181827</c:v>
                </c:pt>
                <c:pt idx="9">
                  <c:v>86.36363636363636</c:v>
                </c:pt>
                <c:pt idx="10">
                  <c:v>100</c:v>
                </c:pt>
                <c:pt idx="11">
                  <c:v>86.36363636363636</c:v>
                </c:pt>
                <c:pt idx="12">
                  <c:v>86.36363636363636</c:v>
                </c:pt>
                <c:pt idx="13">
                  <c:v>95.454545454545453</c:v>
                </c:pt>
                <c:pt idx="14">
                  <c:v>86.36363636363636</c:v>
                </c:pt>
                <c:pt idx="15">
                  <c:v>100</c:v>
                </c:pt>
                <c:pt idx="16">
                  <c:v>90.909090909090907</c:v>
                </c:pt>
                <c:pt idx="17">
                  <c:v>86.36363636363636</c:v>
                </c:pt>
                <c:pt idx="18">
                  <c:v>77.272727272727266</c:v>
                </c:pt>
                <c:pt idx="19">
                  <c:v>81.818181818181827</c:v>
                </c:pt>
                <c:pt idx="20">
                  <c:v>86.36363636363636</c:v>
                </c:pt>
                <c:pt idx="21">
                  <c:v>81.818181818181827</c:v>
                </c:pt>
                <c:pt idx="22">
                  <c:v>77.272727272727266</c:v>
                </c:pt>
                <c:pt idx="23">
                  <c:v>77.272727272727266</c:v>
                </c:pt>
                <c:pt idx="24">
                  <c:v>81.818181818181827</c:v>
                </c:pt>
                <c:pt idx="25">
                  <c:v>68.181818181818173</c:v>
                </c:pt>
                <c:pt idx="26">
                  <c:v>72.727272727272734</c:v>
                </c:pt>
                <c:pt idx="27">
                  <c:v>95.454545454545453</c:v>
                </c:pt>
                <c:pt idx="28">
                  <c:v>68.181818181818173</c:v>
                </c:pt>
                <c:pt idx="29">
                  <c:v>68.181818181818173</c:v>
                </c:pt>
                <c:pt idx="30">
                  <c:v>90.909090909090907</c:v>
                </c:pt>
                <c:pt idx="31">
                  <c:v>95.454545454545453</c:v>
                </c:pt>
                <c:pt idx="32">
                  <c:v>95.454545454545453</c:v>
                </c:pt>
                <c:pt idx="33">
                  <c:v>68.181818181818173</c:v>
                </c:pt>
                <c:pt idx="34">
                  <c:v>86.36363636363636</c:v>
                </c:pt>
                <c:pt idx="35">
                  <c:v>90.909090909090907</c:v>
                </c:pt>
                <c:pt idx="36">
                  <c:v>90.909090909090907</c:v>
                </c:pt>
                <c:pt idx="37">
                  <c:v>77.272727272727266</c:v>
                </c:pt>
                <c:pt idx="38">
                  <c:v>100</c:v>
                </c:pt>
                <c:pt idx="39">
                  <c:v>95.454545454545453</c:v>
                </c:pt>
                <c:pt idx="40">
                  <c:v>68.181818181818173</c:v>
                </c:pt>
                <c:pt idx="41">
                  <c:v>77.272727272727266</c:v>
                </c:pt>
                <c:pt idx="42">
                  <c:v>81.818181818181827</c:v>
                </c:pt>
                <c:pt idx="43">
                  <c:v>72.727272727272734</c:v>
                </c:pt>
                <c:pt idx="44">
                  <c:v>100</c:v>
                </c:pt>
                <c:pt idx="45">
                  <c:v>100</c:v>
                </c:pt>
                <c:pt idx="46">
                  <c:v>100</c:v>
                </c:pt>
                <c:pt idx="47">
                  <c:v>90.909090909090907</c:v>
                </c:pt>
                <c:pt idx="48">
                  <c:v>81.818181818181827</c:v>
                </c:pt>
                <c:pt idx="49">
                  <c:v>100</c:v>
                </c:pt>
                <c:pt idx="50">
                  <c:v>81.818181818181827</c:v>
                </c:pt>
                <c:pt idx="51">
                  <c:v>86.36363636363636</c:v>
                </c:pt>
                <c:pt idx="52">
                  <c:v>100</c:v>
                </c:pt>
                <c:pt idx="53">
                  <c:v>72.727272727272734</c:v>
                </c:pt>
                <c:pt idx="54">
                  <c:v>81.818181818181827</c:v>
                </c:pt>
                <c:pt idx="55">
                  <c:v>81.818181818181827</c:v>
                </c:pt>
                <c:pt idx="56">
                  <c:v>72.727272727272734</c:v>
                </c:pt>
                <c:pt idx="57">
                  <c:v>100</c:v>
                </c:pt>
                <c:pt idx="58">
                  <c:v>72.727272727272734</c:v>
                </c:pt>
                <c:pt idx="59">
                  <c:v>81.818181818181827</c:v>
                </c:pt>
                <c:pt idx="60">
                  <c:v>72.727272727272734</c:v>
                </c:pt>
                <c:pt idx="61">
                  <c:v>81.818181818181827</c:v>
                </c:pt>
                <c:pt idx="62">
                  <c:v>81.818181818181827</c:v>
                </c:pt>
                <c:pt idx="63">
                  <c:v>86.36363636363636</c:v>
                </c:pt>
                <c:pt idx="64">
                  <c:v>68.181818181818173</c:v>
                </c:pt>
                <c:pt idx="65">
                  <c:v>81.818181818181827</c:v>
                </c:pt>
                <c:pt idx="66">
                  <c:v>100</c:v>
                </c:pt>
                <c:pt idx="67">
                  <c:v>77.272727272727266</c:v>
                </c:pt>
                <c:pt idx="68">
                  <c:v>90.909090909090907</c:v>
                </c:pt>
                <c:pt idx="69">
                  <c:v>95.454545454545453</c:v>
                </c:pt>
                <c:pt idx="70">
                  <c:v>68.181818181818173</c:v>
                </c:pt>
                <c:pt idx="71">
                  <c:v>68.181818181818173</c:v>
                </c:pt>
                <c:pt idx="72">
                  <c:v>68.181818181818173</c:v>
                </c:pt>
                <c:pt idx="73">
                  <c:v>86.36363636363636</c:v>
                </c:pt>
                <c:pt idx="74">
                  <c:v>81.818181818181827</c:v>
                </c:pt>
                <c:pt idx="75">
                  <c:v>86.36363636363636</c:v>
                </c:pt>
                <c:pt idx="76">
                  <c:v>81.818181818181827</c:v>
                </c:pt>
                <c:pt idx="77">
                  <c:v>100</c:v>
                </c:pt>
                <c:pt idx="78">
                  <c:v>86.36363636363636</c:v>
                </c:pt>
                <c:pt idx="79">
                  <c:v>86.36363636363636</c:v>
                </c:pt>
                <c:pt idx="80">
                  <c:v>90.909090909090907</c:v>
                </c:pt>
                <c:pt idx="81">
                  <c:v>77.272727272727266</c:v>
                </c:pt>
                <c:pt idx="82">
                  <c:v>86.36363636363636</c:v>
                </c:pt>
                <c:pt idx="83">
                  <c:v>90.909090909090907</c:v>
                </c:pt>
                <c:pt idx="84">
                  <c:v>72.727272727272734</c:v>
                </c:pt>
                <c:pt idx="85">
                  <c:v>77.272727272727266</c:v>
                </c:pt>
                <c:pt idx="86">
                  <c:v>100</c:v>
                </c:pt>
                <c:pt idx="87">
                  <c:v>86.36363636363636</c:v>
                </c:pt>
                <c:pt idx="88">
                  <c:v>95.454545454545453</c:v>
                </c:pt>
                <c:pt idx="89">
                  <c:v>68.181818181818173</c:v>
                </c:pt>
                <c:pt idx="90">
                  <c:v>72.727272727272734</c:v>
                </c:pt>
                <c:pt idx="91">
                  <c:v>72.727272727272734</c:v>
                </c:pt>
                <c:pt idx="92">
                  <c:v>100</c:v>
                </c:pt>
                <c:pt idx="93">
                  <c:v>90.909090909090907</c:v>
                </c:pt>
                <c:pt idx="94">
                  <c:v>72.727272727272734</c:v>
                </c:pt>
                <c:pt idx="95">
                  <c:v>77.272727272727266</c:v>
                </c:pt>
                <c:pt idx="96">
                  <c:v>86.36363636363636</c:v>
                </c:pt>
                <c:pt idx="97">
                  <c:v>86.36363636363636</c:v>
                </c:pt>
                <c:pt idx="98">
                  <c:v>95.454545454545453</c:v>
                </c:pt>
                <c:pt idx="99">
                  <c:v>100</c:v>
                </c:pt>
              </c:numCache>
            </c:numRef>
          </c:yVal>
          <c:smooth val="0"/>
          <c:extLst>
            <c:ext xmlns:c16="http://schemas.microsoft.com/office/drawing/2014/chart" uri="{C3380CC4-5D6E-409C-BE32-E72D297353CC}">
              <c16:uniqueId val="{00000000-F964-42A6-BF44-B2B8A1C05663}"/>
            </c:ext>
          </c:extLst>
        </c:ser>
        <c:ser>
          <c:idx val="2"/>
          <c:order val="2"/>
          <c:tx>
            <c:strRef>
              <c:f>'Employee Performance and Attend'!$G$1</c:f>
              <c:strCache>
                <c:ptCount val="1"/>
                <c:pt idx="0">
                  <c:v>Performance Achivement %</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numRef>
              <c:f>'Employee Performance and Attend'!$G$2:$G$101</c:f>
              <c:numCache>
                <c:formatCode>General</c:formatCode>
                <c:ptCount val="100"/>
                <c:pt idx="0">
                  <c:v>56.25</c:v>
                </c:pt>
                <c:pt idx="1">
                  <c:v>143.75</c:v>
                </c:pt>
                <c:pt idx="2">
                  <c:v>86.597938144329902</c:v>
                </c:pt>
                <c:pt idx="3">
                  <c:v>113.51351351351352</c:v>
                </c:pt>
                <c:pt idx="4">
                  <c:v>140</c:v>
                </c:pt>
                <c:pt idx="5">
                  <c:v>86</c:v>
                </c:pt>
                <c:pt idx="6">
                  <c:v>86.666666666666671</c:v>
                </c:pt>
                <c:pt idx="7">
                  <c:v>104.80769230769231</c:v>
                </c:pt>
                <c:pt idx="8">
                  <c:v>118.8118811881188</c:v>
                </c:pt>
                <c:pt idx="9">
                  <c:v>103.77358490566037</c:v>
                </c:pt>
                <c:pt idx="10">
                  <c:v>84.782608695652172</c:v>
                </c:pt>
                <c:pt idx="11">
                  <c:v>71.428571428571431</c:v>
                </c:pt>
                <c:pt idx="12">
                  <c:v>56.637168141592923</c:v>
                </c:pt>
                <c:pt idx="13">
                  <c:v>88.596491228070178</c:v>
                </c:pt>
                <c:pt idx="14">
                  <c:v>150</c:v>
                </c:pt>
                <c:pt idx="15">
                  <c:v>81</c:v>
                </c:pt>
                <c:pt idx="16">
                  <c:v>94.117647058823522</c:v>
                </c:pt>
                <c:pt idx="17">
                  <c:v>120.56074766355141</c:v>
                </c:pt>
                <c:pt idx="18">
                  <c:v>62.5</c:v>
                </c:pt>
                <c:pt idx="19">
                  <c:v>76.19047619047619</c:v>
                </c:pt>
                <c:pt idx="20">
                  <c:v>64.545454545454547</c:v>
                </c:pt>
                <c:pt idx="21">
                  <c:v>125</c:v>
                </c:pt>
                <c:pt idx="22">
                  <c:v>79.487179487179489</c:v>
                </c:pt>
                <c:pt idx="23">
                  <c:v>131.70731707317074</c:v>
                </c:pt>
                <c:pt idx="24">
                  <c:v>101.96078431372548</c:v>
                </c:pt>
                <c:pt idx="25">
                  <c:v>74.137931034482762</c:v>
                </c:pt>
                <c:pt idx="26">
                  <c:v>73.275862068965509</c:v>
                </c:pt>
                <c:pt idx="27">
                  <c:v>119.10112359550563</c:v>
                </c:pt>
                <c:pt idx="28">
                  <c:v>129.21348314606743</c:v>
                </c:pt>
                <c:pt idx="29">
                  <c:v>124.48979591836735</c:v>
                </c:pt>
                <c:pt idx="30">
                  <c:v>111.45833333333333</c:v>
                </c:pt>
                <c:pt idx="31">
                  <c:v>120</c:v>
                </c:pt>
                <c:pt idx="32">
                  <c:v>91.397849462365585</c:v>
                </c:pt>
                <c:pt idx="33">
                  <c:v>107.95454545454545</c:v>
                </c:pt>
                <c:pt idx="34">
                  <c:v>75</c:v>
                </c:pt>
                <c:pt idx="35">
                  <c:v>72.826086956521735</c:v>
                </c:pt>
                <c:pt idx="36">
                  <c:v>133.73493975903614</c:v>
                </c:pt>
                <c:pt idx="37">
                  <c:v>132.5</c:v>
                </c:pt>
                <c:pt idx="38">
                  <c:v>96.638655462184872</c:v>
                </c:pt>
                <c:pt idx="39">
                  <c:v>65.765765765765778</c:v>
                </c:pt>
                <c:pt idx="40">
                  <c:v>76.991150442477874</c:v>
                </c:pt>
                <c:pt idx="41">
                  <c:v>57.009345794392516</c:v>
                </c:pt>
                <c:pt idx="42">
                  <c:v>77.272727272727266</c:v>
                </c:pt>
                <c:pt idx="43">
                  <c:v>83.908045977011497</c:v>
                </c:pt>
                <c:pt idx="44">
                  <c:v>100</c:v>
                </c:pt>
                <c:pt idx="45">
                  <c:v>109.52380952380953</c:v>
                </c:pt>
                <c:pt idx="46">
                  <c:v>58.407079646017699</c:v>
                </c:pt>
                <c:pt idx="47">
                  <c:v>75.609756097560975</c:v>
                </c:pt>
                <c:pt idx="48">
                  <c:v>90.109890109890117</c:v>
                </c:pt>
                <c:pt idx="49">
                  <c:v>96.25</c:v>
                </c:pt>
                <c:pt idx="50">
                  <c:v>115.47619047619047</c:v>
                </c:pt>
                <c:pt idx="51">
                  <c:v>67.889908256880744</c:v>
                </c:pt>
                <c:pt idx="52">
                  <c:v>112.8440366972477</c:v>
                </c:pt>
                <c:pt idx="53">
                  <c:v>90.625</c:v>
                </c:pt>
                <c:pt idx="54">
                  <c:v>96.078431372549019</c:v>
                </c:pt>
                <c:pt idx="55">
                  <c:v>123.40425531914893</c:v>
                </c:pt>
                <c:pt idx="56">
                  <c:v>65.517241379310349</c:v>
                </c:pt>
                <c:pt idx="57">
                  <c:v>103</c:v>
                </c:pt>
                <c:pt idx="58">
                  <c:v>90.322580645161281</c:v>
                </c:pt>
                <c:pt idx="59">
                  <c:v>93.827160493827151</c:v>
                </c:pt>
                <c:pt idx="60">
                  <c:v>80</c:v>
                </c:pt>
                <c:pt idx="61">
                  <c:v>71.186440677966104</c:v>
                </c:pt>
                <c:pt idx="62">
                  <c:v>108.54700854700855</c:v>
                </c:pt>
                <c:pt idx="63">
                  <c:v>61.06194690265486</c:v>
                </c:pt>
                <c:pt idx="64">
                  <c:v>107.69230769230769</c:v>
                </c:pt>
                <c:pt idx="65">
                  <c:v>68.141592920353972</c:v>
                </c:pt>
                <c:pt idx="66">
                  <c:v>95.876288659793815</c:v>
                </c:pt>
                <c:pt idx="67">
                  <c:v>61.467889908256879</c:v>
                </c:pt>
                <c:pt idx="68">
                  <c:v>105.31914893617021</c:v>
                </c:pt>
                <c:pt idx="69">
                  <c:v>95.283018867924525</c:v>
                </c:pt>
                <c:pt idx="70">
                  <c:v>88.495575221238937</c:v>
                </c:pt>
                <c:pt idx="71">
                  <c:v>55.555555555555557</c:v>
                </c:pt>
                <c:pt idx="72">
                  <c:v>99.107142857142861</c:v>
                </c:pt>
                <c:pt idx="73">
                  <c:v>82.524271844660191</c:v>
                </c:pt>
                <c:pt idx="74">
                  <c:v>130.85106382978725</c:v>
                </c:pt>
                <c:pt idx="75">
                  <c:v>108.25688073394495</c:v>
                </c:pt>
                <c:pt idx="76">
                  <c:v>119.79166666666667</c:v>
                </c:pt>
                <c:pt idx="77">
                  <c:v>140.47619047619045</c:v>
                </c:pt>
                <c:pt idx="78">
                  <c:v>119.44444444444444</c:v>
                </c:pt>
                <c:pt idx="79">
                  <c:v>110.8433734939759</c:v>
                </c:pt>
                <c:pt idx="80">
                  <c:v>125.84269662921348</c:v>
                </c:pt>
                <c:pt idx="81">
                  <c:v>84.375</c:v>
                </c:pt>
                <c:pt idx="82">
                  <c:v>89.887640449438194</c:v>
                </c:pt>
                <c:pt idx="83">
                  <c:v>134.375</c:v>
                </c:pt>
                <c:pt idx="84">
                  <c:v>130.30303030303031</c:v>
                </c:pt>
                <c:pt idx="85">
                  <c:v>61.165048543689316</c:v>
                </c:pt>
                <c:pt idx="86">
                  <c:v>144.04761904761904</c:v>
                </c:pt>
                <c:pt idx="87">
                  <c:v>107.07964601769913</c:v>
                </c:pt>
                <c:pt idx="88">
                  <c:v>97.647058823529406</c:v>
                </c:pt>
                <c:pt idx="89">
                  <c:v>140.74074074074073</c:v>
                </c:pt>
                <c:pt idx="90">
                  <c:v>73.91304347826086</c:v>
                </c:pt>
                <c:pt idx="91">
                  <c:v>68.888888888888886</c:v>
                </c:pt>
                <c:pt idx="92">
                  <c:v>88.235294117647058</c:v>
                </c:pt>
                <c:pt idx="93">
                  <c:v>104.21052631578947</c:v>
                </c:pt>
                <c:pt idx="94">
                  <c:v>86.36363636363636</c:v>
                </c:pt>
                <c:pt idx="95">
                  <c:v>92.222222222222229</c:v>
                </c:pt>
                <c:pt idx="96">
                  <c:v>68.421052631578945</c:v>
                </c:pt>
                <c:pt idx="97">
                  <c:v>143.67816091954023</c:v>
                </c:pt>
                <c:pt idx="98">
                  <c:v>75.903614457831324</c:v>
                </c:pt>
                <c:pt idx="99">
                  <c:v>54.621848739495796</c:v>
                </c:pt>
              </c:numCache>
            </c:numRef>
          </c:xVal>
          <c:yVal>
            <c:numLit>
              <c:formatCode>General</c:formatCode>
              <c:ptCount val="1"/>
              <c:pt idx="0">
                <c:v>1</c:v>
              </c:pt>
            </c:numLit>
          </c:yVal>
          <c:smooth val="0"/>
          <c:extLst>
            <c:ext xmlns:c16="http://schemas.microsoft.com/office/drawing/2014/chart" uri="{C3380CC4-5D6E-409C-BE32-E72D297353CC}">
              <c16:uniqueId val="{00000001-F964-42A6-BF44-B2B8A1C05663}"/>
            </c:ext>
          </c:extLst>
        </c:ser>
        <c:dLbls>
          <c:showLegendKey val="0"/>
          <c:showVal val="0"/>
          <c:showCatName val="0"/>
          <c:showSerName val="0"/>
          <c:showPercent val="0"/>
          <c:showBubbleSize val="0"/>
        </c:dLbls>
        <c:axId val="560955920"/>
        <c:axId val="560958320"/>
        <c:extLst>
          <c:ext xmlns:c15="http://schemas.microsoft.com/office/drawing/2012/chart" uri="{02D57815-91ED-43cb-92C2-25804820EDAC}">
            <c15:filteredScatterSeries>
              <c15:ser>
                <c:idx val="1"/>
                <c:order val="1"/>
                <c:tx>
                  <c:strRef>
                    <c:extLst>
                      <c:ext uri="{02D57815-91ED-43cb-92C2-25804820EDAC}">
                        <c15:formulaRef>
                          <c15:sqref>'Employee Performance and Attend'!$G$2</c15:sqref>
                        </c15:formulaRef>
                      </c:ext>
                    </c:extLst>
                    <c:strCache>
                      <c:ptCount val="1"/>
                      <c:pt idx="0">
                        <c:v>56.25</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yVal>
                  <c:numLit>
                    <c:formatCode>General</c:formatCode>
                    <c:ptCount val="1"/>
                    <c:pt idx="0">
                      <c:v>1</c:v>
                    </c:pt>
                  </c:numLit>
                </c:yVal>
                <c:smooth val="0"/>
                <c:extLst>
                  <c:ext xmlns:c16="http://schemas.microsoft.com/office/drawing/2014/chart" uri="{C3380CC4-5D6E-409C-BE32-E72D297353CC}">
                    <c16:uniqueId val="{00000002-F964-42A6-BF44-B2B8A1C05663}"/>
                  </c:ext>
                </c:extLst>
              </c15:ser>
            </c15:filteredScatterSeries>
          </c:ext>
        </c:extLst>
      </c:scatterChart>
      <c:valAx>
        <c:axId val="5609559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0958320"/>
        <c:crosses val="autoZero"/>
        <c:crossBetween val="midCat"/>
      </c:valAx>
      <c:valAx>
        <c:axId val="5609583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0955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Attendance Trend Line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Attendance_trend!$B$1</c:f>
              <c:strCache>
                <c:ptCount val="1"/>
                <c:pt idx="0">
                  <c:v>Attendance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Attendance_trend!$A$2:$A$6</c:f>
              <c:strCache>
                <c:ptCount val="5"/>
                <c:pt idx="0">
                  <c:v>Jan</c:v>
                </c:pt>
                <c:pt idx="1">
                  <c:v>Feb</c:v>
                </c:pt>
                <c:pt idx="2">
                  <c:v>March</c:v>
                </c:pt>
                <c:pt idx="3">
                  <c:v>April</c:v>
                </c:pt>
                <c:pt idx="4">
                  <c:v>May</c:v>
                </c:pt>
              </c:strCache>
            </c:strRef>
          </c:cat>
          <c:val>
            <c:numRef>
              <c:f>Attendance_trend!$B$2:$B$6</c:f>
              <c:numCache>
                <c:formatCode>General</c:formatCode>
                <c:ptCount val="5"/>
                <c:pt idx="0">
                  <c:v>85.22727272727272</c:v>
                </c:pt>
                <c:pt idx="1">
                  <c:v>83.409090909090907</c:v>
                </c:pt>
                <c:pt idx="2">
                  <c:v>89.203330475210151</c:v>
                </c:pt>
                <c:pt idx="3">
                  <c:v>95.496090411802186</c:v>
                </c:pt>
                <c:pt idx="4">
                  <c:v>98.596088434492515</c:v>
                </c:pt>
              </c:numCache>
            </c:numRef>
          </c:val>
          <c:smooth val="0"/>
          <c:extLst>
            <c:ext xmlns:c16="http://schemas.microsoft.com/office/drawing/2014/chart" uri="{C3380CC4-5D6E-409C-BE32-E72D297353CC}">
              <c16:uniqueId val="{00000000-5933-4C38-9148-786706333BF8}"/>
            </c:ext>
          </c:extLst>
        </c:ser>
        <c:dLbls>
          <c:showLegendKey val="0"/>
          <c:showVal val="0"/>
          <c:showCatName val="0"/>
          <c:showSerName val="0"/>
          <c:showPercent val="0"/>
          <c:showBubbleSize val="0"/>
        </c:dLbls>
        <c:smooth val="0"/>
        <c:axId val="280221824"/>
        <c:axId val="280222304"/>
      </c:lineChart>
      <c:catAx>
        <c:axId val="2802218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222304"/>
        <c:crosses val="autoZero"/>
        <c:auto val="1"/>
        <c:lblAlgn val="ctr"/>
        <c:lblOffset val="100"/>
        <c:noMultiLvlLbl val="0"/>
      </c:catAx>
      <c:valAx>
        <c:axId val="280222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22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1.xlsx]performance distribution!PivotTable3</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Attendance Distribution across Organization</a:t>
            </a:r>
          </a:p>
        </c:rich>
      </c:tx>
      <c:layout>
        <c:manualLayout>
          <c:xMode val="edge"/>
          <c:yMode val="edge"/>
          <c:x val="0.16579155730533685"/>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distribution'!$B$3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'performance distribution'!$A$4</c:f>
              <c:strCache>
                <c:ptCount val="1"/>
                <c:pt idx="0">
                  <c:v>Grand Total</c:v>
                </c:pt>
              </c:strCache>
            </c:strRef>
          </c:cat>
          <c:val>
            <c:numRef>
              <c:f>'performance distribution'!$B$4</c:f>
              <c:numCache>
                <c:formatCode>General</c:formatCode>
                <c:ptCount val="1"/>
              </c:numCache>
            </c:numRef>
          </c:val>
          <c:extLst>
            <c:ext xmlns:c16="http://schemas.microsoft.com/office/drawing/2014/chart" uri="{C3380CC4-5D6E-409C-BE32-E72D297353CC}">
              <c16:uniqueId val="{00000000-DC1B-4E26-A006-569A6653A3EA}"/>
            </c:ext>
          </c:extLst>
        </c:ser>
        <c:dLbls>
          <c:dLblPos val="inEnd"/>
          <c:showLegendKey val="0"/>
          <c:showVal val="1"/>
          <c:showCatName val="0"/>
          <c:showSerName val="0"/>
          <c:showPercent val="0"/>
          <c:showBubbleSize val="0"/>
        </c:dLbls>
        <c:gapWidth val="65"/>
        <c:axId val="426189072"/>
        <c:axId val="426188112"/>
      </c:barChart>
      <c:catAx>
        <c:axId val="426189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6188112"/>
        <c:crosses val="autoZero"/>
        <c:auto val="1"/>
        <c:lblAlgn val="ctr"/>
        <c:lblOffset val="100"/>
        <c:noMultiLvlLbl val="0"/>
      </c:catAx>
      <c:valAx>
        <c:axId val="4261881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61890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miniproject 1.xlsx]Absenteesm!PivotTable3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Absenteeism Patterns by Day/Week</a:t>
            </a:r>
          </a:p>
        </c:rich>
      </c:tx>
      <c:layout>
        <c:manualLayout>
          <c:xMode val="edge"/>
          <c:yMode val="edge"/>
          <c:x val="0.18020122484689413"/>
          <c:y val="0.128608923884514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Absenteesm!$B$3</c:f>
              <c:strCache>
                <c:ptCount val="1"/>
                <c:pt idx="0">
                  <c:v>Count of Absenteesm_days</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Absenteesm!$A$4:$A$9</c:f>
              <c:strCache>
                <c:ptCount val="5"/>
                <c:pt idx="0">
                  <c:v>Finance</c:v>
                </c:pt>
                <c:pt idx="1">
                  <c:v>HR</c:v>
                </c:pt>
                <c:pt idx="2">
                  <c:v>IT</c:v>
                </c:pt>
                <c:pt idx="3">
                  <c:v>Marketing</c:v>
                </c:pt>
                <c:pt idx="4">
                  <c:v>Sales</c:v>
                </c:pt>
              </c:strCache>
            </c:strRef>
          </c:cat>
          <c:val>
            <c:numRef>
              <c:f>Absenteesm!$B$4:$B$9</c:f>
              <c:numCache>
                <c:formatCode>General</c:formatCode>
                <c:ptCount val="5"/>
                <c:pt idx="0">
                  <c:v>22</c:v>
                </c:pt>
                <c:pt idx="1">
                  <c:v>21</c:v>
                </c:pt>
                <c:pt idx="2">
                  <c:v>17</c:v>
                </c:pt>
                <c:pt idx="3">
                  <c:v>24</c:v>
                </c:pt>
                <c:pt idx="4">
                  <c:v>16</c:v>
                </c:pt>
              </c:numCache>
            </c:numRef>
          </c:val>
          <c:extLst>
            <c:ext xmlns:c16="http://schemas.microsoft.com/office/drawing/2014/chart" uri="{C3380CC4-5D6E-409C-BE32-E72D297353CC}">
              <c16:uniqueId val="{00000000-2287-43FF-B999-7AA32644EC21}"/>
            </c:ext>
          </c:extLst>
        </c:ser>
        <c:ser>
          <c:idx val="1"/>
          <c:order val="1"/>
          <c:tx>
            <c:strRef>
              <c:f>Absenteesm!$C$3</c:f>
              <c:strCache>
                <c:ptCount val="1"/>
                <c:pt idx="0">
                  <c:v>Sum of Absenteesm_days</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Absenteesm!$A$4:$A$9</c:f>
              <c:strCache>
                <c:ptCount val="5"/>
                <c:pt idx="0">
                  <c:v>Finance</c:v>
                </c:pt>
                <c:pt idx="1">
                  <c:v>HR</c:v>
                </c:pt>
                <c:pt idx="2">
                  <c:v>IT</c:v>
                </c:pt>
                <c:pt idx="3">
                  <c:v>Marketing</c:v>
                </c:pt>
                <c:pt idx="4">
                  <c:v>Sales</c:v>
                </c:pt>
              </c:strCache>
            </c:strRef>
          </c:cat>
          <c:val>
            <c:numRef>
              <c:f>Absenteesm!$C$4:$C$9</c:f>
              <c:numCache>
                <c:formatCode>General</c:formatCode>
                <c:ptCount val="5"/>
                <c:pt idx="0">
                  <c:v>89</c:v>
                </c:pt>
                <c:pt idx="1">
                  <c:v>67</c:v>
                </c:pt>
                <c:pt idx="2">
                  <c:v>54</c:v>
                </c:pt>
                <c:pt idx="3">
                  <c:v>70</c:v>
                </c:pt>
                <c:pt idx="4">
                  <c:v>66</c:v>
                </c:pt>
              </c:numCache>
            </c:numRef>
          </c:val>
          <c:extLst>
            <c:ext xmlns:c16="http://schemas.microsoft.com/office/drawing/2014/chart" uri="{C3380CC4-5D6E-409C-BE32-E72D297353CC}">
              <c16:uniqueId val="{00000001-2287-43FF-B999-7AA32644EC21}"/>
            </c:ext>
          </c:extLst>
        </c:ser>
        <c:dLbls>
          <c:dLblPos val="inEnd"/>
          <c:showLegendKey val="0"/>
          <c:showVal val="1"/>
          <c:showCatName val="0"/>
          <c:showSerName val="0"/>
          <c:showPercent val="0"/>
          <c:showBubbleSize val="0"/>
        </c:dLbls>
        <c:gapWidth val="65"/>
        <c:axId val="431313072"/>
        <c:axId val="431312112"/>
      </c:barChart>
      <c:catAx>
        <c:axId val="431313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1312112"/>
        <c:crosses val="autoZero"/>
        <c:auto val="1"/>
        <c:lblAlgn val="ctr"/>
        <c:lblOffset val="100"/>
        <c:noMultiLvlLbl val="0"/>
      </c:catAx>
      <c:valAx>
        <c:axId val="4313121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13130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miniproject 1.xlsx]Department Attendance!PivotTable2</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Attendance'!$B$3</c:f>
              <c:strCache>
                <c:ptCount val="1"/>
                <c:pt idx="0">
                  <c:v>Average of Attendance Rate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'Department Attendance'!$A$4</c:f>
              <c:strCache>
                <c:ptCount val="1"/>
                <c:pt idx="0">
                  <c:v>Grand Total</c:v>
                </c:pt>
              </c:strCache>
            </c:strRef>
          </c:cat>
          <c:val>
            <c:numRef>
              <c:f>'Department Attendance'!$B$4</c:f>
              <c:numCache>
                <c:formatCode>General</c:formatCode>
                <c:ptCount val="1"/>
              </c:numCache>
            </c:numRef>
          </c:val>
          <c:extLst>
            <c:ext xmlns:c16="http://schemas.microsoft.com/office/drawing/2014/chart" uri="{C3380CC4-5D6E-409C-BE32-E72D297353CC}">
              <c16:uniqueId val="{00000000-BC2B-4A45-BC9F-818FFCF29528}"/>
            </c:ext>
          </c:extLst>
        </c:ser>
        <c:ser>
          <c:idx val="1"/>
          <c:order val="1"/>
          <c:tx>
            <c:strRef>
              <c:f>'Department Attendance'!$C$3</c:f>
              <c:strCache>
                <c:ptCount val="1"/>
                <c:pt idx="0">
                  <c:v>Count of Attendance Category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'Department Attendance'!$A$4</c:f>
              <c:strCache>
                <c:ptCount val="1"/>
                <c:pt idx="0">
                  <c:v>Grand Total</c:v>
                </c:pt>
              </c:strCache>
            </c:strRef>
          </c:cat>
          <c:val>
            <c:numRef>
              <c:f>'Department Attendance'!$C$4</c:f>
              <c:numCache>
                <c:formatCode>General</c:formatCode>
                <c:ptCount val="1"/>
              </c:numCache>
            </c:numRef>
          </c:val>
          <c:extLst>
            <c:ext xmlns:c16="http://schemas.microsoft.com/office/drawing/2014/chart" uri="{C3380CC4-5D6E-409C-BE32-E72D297353CC}">
              <c16:uniqueId val="{00000001-BC2B-4A45-BC9F-818FFCF29528}"/>
            </c:ext>
          </c:extLst>
        </c:ser>
        <c:dLbls>
          <c:dLblPos val="outEnd"/>
          <c:showLegendKey val="0"/>
          <c:showVal val="1"/>
          <c:showCatName val="0"/>
          <c:showSerName val="0"/>
          <c:showPercent val="0"/>
          <c:showBubbleSize val="0"/>
        </c:dLbls>
        <c:gapWidth val="182"/>
        <c:overlap val="-50"/>
        <c:axId val="1325147808"/>
        <c:axId val="1325148288"/>
      </c:barChart>
      <c:catAx>
        <c:axId val="13251478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5148288"/>
        <c:crosses val="autoZero"/>
        <c:auto val="1"/>
        <c:lblAlgn val="ctr"/>
        <c:lblOffset val="100"/>
        <c:noMultiLvlLbl val="0"/>
      </c:catAx>
      <c:valAx>
        <c:axId val="132514828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5147808"/>
        <c:crosses val="autoZero"/>
        <c:crossBetween val="between"/>
      </c:valAx>
      <c:spPr>
        <a:noFill/>
        <a:ln>
          <a:noFill/>
        </a:ln>
        <a:effectLst/>
      </c:spPr>
    </c:plotArea>
    <c:legend>
      <c:legendPos val="r"/>
      <c:layout>
        <c:manualLayout>
          <c:xMode val="edge"/>
          <c:yMode val="edge"/>
          <c:x val="0.76249999999999996"/>
          <c:y val="0.43409485272674248"/>
          <c:w val="0.22083333333333335"/>
          <c:h val="0.31958333333333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Individual Performance</cx:v>
        </cx:txData>
      </cx:tx>
      <cx:spPr>
        <a:solidFill>
          <a:schemeClr val="bg1">
            <a:lumMod val="95000"/>
          </a:schemeClr>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Individual Performance</a:t>
          </a:r>
        </a:p>
      </cx:txPr>
    </cx:title>
    <cx:plotArea>
      <cx:plotAreaRegion>
        <cx:series layoutId="clusteredColumn" uniqueId="{382297D3-6A7B-49F8-B6D3-EF7139C0FBC5}">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Individual Performance</cx:v>
        </cx:txData>
      </cx:tx>
      <cx:spPr>
        <a:solidFill>
          <a:schemeClr val="bg1">
            <a:lumMod val="95000"/>
          </a:schemeClr>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Individual Performance</a:t>
          </a:r>
        </a:p>
      </cx:txPr>
    </cx:title>
    <cx:plotArea>
      <cx:plotAreaRegion>
        <cx:series layoutId="clusteredColumn" uniqueId="{382297D3-6A7B-49F8-B6D3-EF7139C0FBC5}">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microsoft.com/office/2014/relationships/chartEx" Target="../charts/chartEx2.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53340</xdr:colOff>
      <xdr:row>0</xdr:row>
      <xdr:rowOff>163830</xdr:rowOff>
    </xdr:from>
    <xdr:to>
      <xdr:col>9</xdr:col>
      <xdr:colOff>541020</xdr:colOff>
      <xdr:row>12</xdr:row>
      <xdr:rowOff>91440</xdr:rowOff>
    </xdr:to>
    <xdr:graphicFrame macro="">
      <xdr:nvGraphicFramePr>
        <xdr:cNvPr id="2" name="Chart 1">
          <a:extLst>
            <a:ext uri="{FF2B5EF4-FFF2-40B4-BE49-F238E27FC236}">
              <a16:creationId xmlns:a16="http://schemas.microsoft.com/office/drawing/2014/main" id="{ECD4BA5B-516A-A4FF-2213-456291459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156210</xdr:rowOff>
    </xdr:from>
    <xdr:to>
      <xdr:col>10</xdr:col>
      <xdr:colOff>320040</xdr:colOff>
      <xdr:row>16</xdr:row>
      <xdr:rowOff>156210</xdr:rowOff>
    </xdr:to>
    <xdr:graphicFrame macro="">
      <xdr:nvGraphicFramePr>
        <xdr:cNvPr id="2" name="Chart 1">
          <a:extLst>
            <a:ext uri="{FF2B5EF4-FFF2-40B4-BE49-F238E27FC236}">
              <a16:creationId xmlns:a16="http://schemas.microsoft.com/office/drawing/2014/main" id="{B9FEE17F-5C31-4C48-B430-953F1A1F9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xdr:colOff>
      <xdr:row>1</xdr:row>
      <xdr:rowOff>179070</xdr:rowOff>
    </xdr:from>
    <xdr:to>
      <xdr:col>18</xdr:col>
      <xdr:colOff>320040</xdr:colOff>
      <xdr:row>16</xdr:row>
      <xdr:rowOff>179070</xdr:rowOff>
    </xdr:to>
    <xdr:graphicFrame macro="">
      <xdr:nvGraphicFramePr>
        <xdr:cNvPr id="3" name="Chart 2">
          <a:extLst>
            <a:ext uri="{FF2B5EF4-FFF2-40B4-BE49-F238E27FC236}">
              <a16:creationId xmlns:a16="http://schemas.microsoft.com/office/drawing/2014/main" id="{DA205ABF-EFFB-6DC5-A3CD-21492238A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1</xdr:row>
      <xdr:rowOff>102870</xdr:rowOff>
    </xdr:from>
    <xdr:to>
      <xdr:col>11</xdr:col>
      <xdr:colOff>457200</xdr:colOff>
      <xdr:row>16</xdr:row>
      <xdr:rowOff>102870</xdr:rowOff>
    </xdr:to>
    <xdr:graphicFrame macro="">
      <xdr:nvGraphicFramePr>
        <xdr:cNvPr id="2" name="Chart 1">
          <a:extLst>
            <a:ext uri="{FF2B5EF4-FFF2-40B4-BE49-F238E27FC236}">
              <a16:creationId xmlns:a16="http://schemas.microsoft.com/office/drawing/2014/main" id="{34447AC6-6684-805E-1F0A-7F18AB7D5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868680</xdr:colOff>
      <xdr:row>102</xdr:row>
      <xdr:rowOff>171450</xdr:rowOff>
    </xdr:from>
    <xdr:to>
      <xdr:col>4</xdr:col>
      <xdr:colOff>678180</xdr:colOff>
      <xdr:row>117</xdr:row>
      <xdr:rowOff>171450</xdr:rowOff>
    </xdr:to>
    <xdr:graphicFrame macro="">
      <xdr:nvGraphicFramePr>
        <xdr:cNvPr id="3" name="Chart 2">
          <a:extLst>
            <a:ext uri="{FF2B5EF4-FFF2-40B4-BE49-F238E27FC236}">
              <a16:creationId xmlns:a16="http://schemas.microsoft.com/office/drawing/2014/main" id="{6EF6DC76-AAD4-54C2-5FEA-E1B6B7721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4</xdr:col>
      <xdr:colOff>304800</xdr:colOff>
      <xdr:row>17</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ED46AEC-3383-4F4C-A5E3-460DBE64D6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657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7620</xdr:colOff>
      <xdr:row>0</xdr:row>
      <xdr:rowOff>133350</xdr:rowOff>
    </xdr:from>
    <xdr:to>
      <xdr:col>12</xdr:col>
      <xdr:colOff>312420</xdr:colOff>
      <xdr:row>15</xdr:row>
      <xdr:rowOff>133350</xdr:rowOff>
    </xdr:to>
    <xdr:graphicFrame macro="">
      <xdr:nvGraphicFramePr>
        <xdr:cNvPr id="2" name="Chart 1">
          <a:extLst>
            <a:ext uri="{FF2B5EF4-FFF2-40B4-BE49-F238E27FC236}">
              <a16:creationId xmlns:a16="http://schemas.microsoft.com/office/drawing/2014/main" id="{BA616378-788D-626F-F79D-DA0B28411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144780</xdr:colOff>
      <xdr:row>32</xdr:row>
      <xdr:rowOff>125730</xdr:rowOff>
    </xdr:from>
    <xdr:to>
      <xdr:col>5</xdr:col>
      <xdr:colOff>1005840</xdr:colOff>
      <xdr:row>47</xdr:row>
      <xdr:rowOff>125730</xdr:rowOff>
    </xdr:to>
    <xdr:graphicFrame macro="">
      <xdr:nvGraphicFramePr>
        <xdr:cNvPr id="2" name="Chart 1">
          <a:extLst>
            <a:ext uri="{FF2B5EF4-FFF2-40B4-BE49-F238E27FC236}">
              <a16:creationId xmlns:a16="http://schemas.microsoft.com/office/drawing/2014/main" id="{9B4108C8-52E0-1D2B-DD3A-283EF838C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175260</xdr:colOff>
      <xdr:row>7</xdr:row>
      <xdr:rowOff>163830</xdr:rowOff>
    </xdr:from>
    <xdr:to>
      <xdr:col>3</xdr:col>
      <xdr:colOff>350520</xdr:colOff>
      <xdr:row>22</xdr:row>
      <xdr:rowOff>163830</xdr:rowOff>
    </xdr:to>
    <xdr:graphicFrame macro="">
      <xdr:nvGraphicFramePr>
        <xdr:cNvPr id="2" name="Chart 1">
          <a:extLst>
            <a:ext uri="{FF2B5EF4-FFF2-40B4-BE49-F238E27FC236}">
              <a16:creationId xmlns:a16="http://schemas.microsoft.com/office/drawing/2014/main" id="{6A9DD5D6-CD6E-521F-56BF-BEFBE57B8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693420</xdr:colOff>
      <xdr:row>8</xdr:row>
      <xdr:rowOff>38100</xdr:rowOff>
    </xdr:from>
    <xdr:to>
      <xdr:col>4</xdr:col>
      <xdr:colOff>182880</xdr:colOff>
      <xdr:row>21</xdr:row>
      <xdr:rowOff>127635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7A8EED2D-1DC7-996F-14C1-9E3A5E3BD7D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143500" y="1501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xdr:colOff>
      <xdr:row>8</xdr:row>
      <xdr:rowOff>99060</xdr:rowOff>
    </xdr:from>
    <xdr:to>
      <xdr:col>8</xdr:col>
      <xdr:colOff>7620</xdr:colOff>
      <xdr:row>22</xdr:row>
      <xdr:rowOff>5715</xdr:rowOff>
    </xdr:to>
    <mc:AlternateContent xmlns:mc="http://schemas.openxmlformats.org/markup-compatibility/2006" xmlns:a14="http://schemas.microsoft.com/office/drawing/2010/main">
      <mc:Choice Requires="a14">
        <xdr:graphicFrame macro="">
          <xdr:nvGraphicFramePr>
            <xdr:cNvPr id="4" name="Performance Category">
              <a:extLst>
                <a:ext uri="{FF2B5EF4-FFF2-40B4-BE49-F238E27FC236}">
                  <a16:creationId xmlns:a16="http://schemas.microsoft.com/office/drawing/2014/main" id="{ACD73239-1232-6744-F305-673A7AF14A5D}"/>
                </a:ext>
              </a:extLst>
            </xdr:cNvPr>
            <xdr:cNvGraphicFramePr/>
          </xdr:nvGraphicFramePr>
          <xdr:xfrm>
            <a:off x="0" y="0"/>
            <a:ext cx="0" cy="0"/>
          </xdr:xfrm>
          <a:graphic>
            <a:graphicData uri="http://schemas.microsoft.com/office/drawing/2010/slicer">
              <sle:slicer xmlns:sle="http://schemas.microsoft.com/office/drawing/2010/slicer" name="Performance Category"/>
            </a:graphicData>
          </a:graphic>
        </xdr:graphicFrame>
      </mc:Choice>
      <mc:Fallback xmlns="">
        <xdr:sp macro="" textlink="">
          <xdr:nvSpPr>
            <xdr:cNvPr id="0" name=""/>
            <xdr:cNvSpPr>
              <a:spLocks noTextEdit="1"/>
            </xdr:cNvSpPr>
          </xdr:nvSpPr>
          <xdr:spPr>
            <a:xfrm>
              <a:off x="7406640" y="1562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251460</xdr:colOff>
      <xdr:row>4</xdr:row>
      <xdr:rowOff>0</xdr:rowOff>
    </xdr:from>
    <xdr:to>
      <xdr:col>4</xdr:col>
      <xdr:colOff>426720</xdr:colOff>
      <xdr:row>8</xdr:row>
      <xdr:rowOff>15240</xdr:rowOff>
    </xdr:to>
    <xdr:sp macro="" textlink="KPI!B1">
      <xdr:nvSpPr>
        <xdr:cNvPr id="4" name="Rectangle: Rounded Corners 3">
          <a:extLst>
            <a:ext uri="{FF2B5EF4-FFF2-40B4-BE49-F238E27FC236}">
              <a16:creationId xmlns:a16="http://schemas.microsoft.com/office/drawing/2014/main" id="{50E44F0A-C929-E3B9-C2E1-DF75BBAF0374}"/>
            </a:ext>
          </a:extLst>
        </xdr:cNvPr>
        <xdr:cNvSpPr/>
      </xdr:nvSpPr>
      <xdr:spPr>
        <a:xfrm>
          <a:off x="251460" y="731520"/>
          <a:ext cx="2499360" cy="746760"/>
        </a:xfrm>
        <a:prstGeom prst="roundRect">
          <a:avLst/>
        </a:prstGeom>
        <a:solidFill>
          <a:schemeClr val="bg2">
            <a:lumMod val="75000"/>
          </a:schemeClr>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600" b="1" i="0" u="none" strike="noStrike" cap="none" spc="0">
              <a:ln w="0"/>
              <a:solidFill>
                <a:srgbClr val="000000"/>
              </a:solidFill>
              <a:effectLst>
                <a:outerShdw blurRad="38100" dist="19050" dir="2700000" algn="tl" rotWithShape="0">
                  <a:schemeClr val="dk1">
                    <a:alpha val="40000"/>
                  </a:schemeClr>
                </a:outerShdw>
              </a:effectLst>
              <a:latin typeface="+mn-lt"/>
              <a:ea typeface="Calibri"/>
              <a:cs typeface="Calibri"/>
            </a:rPr>
            <a:t>Overall Attendance Rate</a:t>
          </a:r>
        </a:p>
        <a:p>
          <a:pPr algn="ctr"/>
          <a:fld id="{CB2BCE09-C90D-4BC2-A27B-EBFF51F9E1CB}"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84.27272727</a:t>
          </a:fld>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22860</xdr:colOff>
      <xdr:row>4</xdr:row>
      <xdr:rowOff>22860</xdr:rowOff>
    </xdr:from>
    <xdr:to>
      <xdr:col>9</xdr:col>
      <xdr:colOff>266700</xdr:colOff>
      <xdr:row>8</xdr:row>
      <xdr:rowOff>45720</xdr:rowOff>
    </xdr:to>
    <xdr:sp macro="" textlink="KPI!E2">
      <xdr:nvSpPr>
        <xdr:cNvPr id="5" name="Rectangle: Rounded Corners 4">
          <a:extLst>
            <a:ext uri="{FF2B5EF4-FFF2-40B4-BE49-F238E27FC236}">
              <a16:creationId xmlns:a16="http://schemas.microsoft.com/office/drawing/2014/main" id="{2D54792D-8B5E-47FB-A8F8-FF523FA17E19}"/>
            </a:ext>
          </a:extLst>
        </xdr:cNvPr>
        <xdr:cNvSpPr/>
      </xdr:nvSpPr>
      <xdr:spPr>
        <a:xfrm>
          <a:off x="2956560" y="754380"/>
          <a:ext cx="2682240" cy="754380"/>
        </a:xfrm>
        <a:prstGeom prst="roundRect">
          <a:avLst/>
        </a:prstGeom>
        <a:solidFill>
          <a:schemeClr val="bg2">
            <a:lumMod val="75000"/>
          </a:schemeClr>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marL="0" indent="0" algn="ctr"/>
          <a:r>
            <a:rPr lang="en-US" sz="1600" b="1" i="0" u="none" strike="noStrike" cap="none" spc="0">
              <a:ln w="0"/>
              <a:solidFill>
                <a:srgbClr val="000000"/>
              </a:solidFill>
              <a:effectLst>
                <a:outerShdw blurRad="38100" dist="19050" dir="2700000" algn="tl" rotWithShape="0">
                  <a:schemeClr val="dk1">
                    <a:alpha val="40000"/>
                  </a:schemeClr>
                </a:outerShdw>
              </a:effectLst>
              <a:latin typeface="+mn-lt"/>
              <a:ea typeface="Calibri"/>
              <a:cs typeface="Calibri"/>
            </a:rPr>
            <a:t>Avg Performance vs Target</a:t>
          </a:r>
        </a:p>
        <a:p>
          <a:pPr marL="0" indent="0" algn="ctr"/>
          <a:fld id="{F8AB2682-032A-45C8-83EB-A425ECC7A9A8}"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marL="0" indent="0" algn="ctr"/>
            <a:t>97.04579204</a:t>
          </a:fld>
          <a:endParaRPr lang="en-US" sz="1600" b="1" i="0" u="none" strike="noStrike" cap="none" spc="0">
            <a:ln w="0"/>
            <a:solidFill>
              <a:srgbClr val="000000"/>
            </a:solidFill>
            <a:effectLst>
              <a:outerShdw blurRad="38100" dist="19050" dir="2700000" algn="tl" rotWithShape="0">
                <a:schemeClr val="dk1">
                  <a:alpha val="40000"/>
                </a:schemeClr>
              </a:outerShdw>
            </a:effectLst>
            <a:latin typeface="+mn-lt"/>
            <a:ea typeface="Calibri"/>
            <a:cs typeface="Calibri"/>
          </a:endParaRPr>
        </a:p>
      </xdr:txBody>
    </xdr:sp>
    <xdr:clientData/>
  </xdr:twoCellAnchor>
  <xdr:twoCellAnchor>
    <xdr:from>
      <xdr:col>18</xdr:col>
      <xdr:colOff>472440</xdr:colOff>
      <xdr:row>4</xdr:row>
      <xdr:rowOff>0</xdr:rowOff>
    </xdr:from>
    <xdr:to>
      <xdr:col>22</xdr:col>
      <xdr:colOff>480060</xdr:colOff>
      <xdr:row>8</xdr:row>
      <xdr:rowOff>60960</xdr:rowOff>
    </xdr:to>
    <xdr:sp macro="" textlink="KPI!B5">
      <xdr:nvSpPr>
        <xdr:cNvPr id="6" name="Rectangle: Rounded Corners 5">
          <a:extLst>
            <a:ext uri="{FF2B5EF4-FFF2-40B4-BE49-F238E27FC236}">
              <a16:creationId xmlns:a16="http://schemas.microsoft.com/office/drawing/2014/main" id="{55BE8358-E06D-440B-ADC1-EF9BC00FDD45}"/>
            </a:ext>
          </a:extLst>
        </xdr:cNvPr>
        <xdr:cNvSpPr/>
      </xdr:nvSpPr>
      <xdr:spPr>
        <a:xfrm>
          <a:off x="11330940" y="731520"/>
          <a:ext cx="2377440" cy="792480"/>
        </a:xfrm>
        <a:prstGeom prst="roundRect">
          <a:avLst/>
        </a:prstGeom>
        <a:solidFill>
          <a:schemeClr val="bg2">
            <a:lumMod val="75000"/>
          </a:schemeClr>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600" b="1" i="0" u="none" strike="noStrike" cap="none" spc="0">
              <a:ln w="0"/>
              <a:solidFill>
                <a:srgbClr val="000000"/>
              </a:solidFill>
              <a:effectLst>
                <a:outerShdw blurRad="38100" dist="19050" dir="2700000" algn="tl" rotWithShape="0">
                  <a:schemeClr val="dk1">
                    <a:alpha val="40000"/>
                  </a:schemeClr>
                </a:outerShdw>
              </a:effectLst>
              <a:latin typeface="+mn-lt"/>
              <a:ea typeface="Calibri"/>
              <a:cs typeface="Calibri"/>
            </a:rPr>
            <a:t>Under Performer Count</a:t>
          </a:r>
        </a:p>
        <a:p>
          <a:pPr algn="ctr"/>
          <a:fld id="{C41B3610-47D1-4AA0-981E-67FC307840AF}"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30</a:t>
          </a:fld>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167640</xdr:colOff>
      <xdr:row>4</xdr:row>
      <xdr:rowOff>22860</xdr:rowOff>
    </xdr:from>
    <xdr:to>
      <xdr:col>18</xdr:col>
      <xdr:colOff>365760</xdr:colOff>
      <xdr:row>8</xdr:row>
      <xdr:rowOff>53340</xdr:rowOff>
    </xdr:to>
    <xdr:sp macro="" textlink="KPI!B4">
      <xdr:nvSpPr>
        <xdr:cNvPr id="7" name="Rectangle: Rounded Corners 6">
          <a:extLst>
            <a:ext uri="{FF2B5EF4-FFF2-40B4-BE49-F238E27FC236}">
              <a16:creationId xmlns:a16="http://schemas.microsoft.com/office/drawing/2014/main" id="{B3F7A4EA-B013-4C82-9717-3830D8DD8D08}"/>
            </a:ext>
          </a:extLst>
        </xdr:cNvPr>
        <xdr:cNvSpPr/>
      </xdr:nvSpPr>
      <xdr:spPr>
        <a:xfrm>
          <a:off x="8587740" y="754380"/>
          <a:ext cx="2636520" cy="762000"/>
        </a:xfrm>
        <a:prstGeom prst="roundRect">
          <a:avLst/>
        </a:prstGeom>
        <a:solidFill>
          <a:schemeClr val="bg2">
            <a:lumMod val="75000"/>
          </a:schemeClr>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600" b="1" i="0" u="none" strike="noStrike" cap="none" spc="0">
              <a:ln w="0"/>
              <a:solidFill>
                <a:srgbClr val="000000"/>
              </a:solidFill>
              <a:effectLst>
                <a:outerShdw blurRad="38100" dist="19050" dir="2700000" algn="tl" rotWithShape="0">
                  <a:schemeClr val="dk1">
                    <a:alpha val="40000"/>
                  </a:schemeClr>
                </a:outerShdw>
              </a:effectLst>
              <a:latin typeface="+mn-lt"/>
              <a:ea typeface="Calibri"/>
              <a:cs typeface="Calibri"/>
            </a:rPr>
            <a:t>Attendance Issues count</a:t>
          </a:r>
        </a:p>
        <a:p>
          <a:pPr algn="ctr"/>
          <a:fld id="{6F7E7199-4F61-44AB-9D8F-7474704FBB3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66</a:t>
          </a:fld>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449580</xdr:colOff>
      <xdr:row>4</xdr:row>
      <xdr:rowOff>15240</xdr:rowOff>
    </xdr:from>
    <xdr:to>
      <xdr:col>14</xdr:col>
      <xdr:colOff>0</xdr:colOff>
      <xdr:row>8</xdr:row>
      <xdr:rowOff>30480</xdr:rowOff>
    </xdr:to>
    <xdr:sp macro="" textlink="KPI!B3">
      <xdr:nvSpPr>
        <xdr:cNvPr id="8" name="Rectangle: Rounded Corners 7">
          <a:extLst>
            <a:ext uri="{FF2B5EF4-FFF2-40B4-BE49-F238E27FC236}">
              <a16:creationId xmlns:a16="http://schemas.microsoft.com/office/drawing/2014/main" id="{1300502E-A108-44CF-B311-55F7E1E8FD9F}"/>
            </a:ext>
          </a:extLst>
        </xdr:cNvPr>
        <xdr:cNvSpPr/>
      </xdr:nvSpPr>
      <xdr:spPr>
        <a:xfrm>
          <a:off x="5821680" y="746760"/>
          <a:ext cx="2598420" cy="746760"/>
        </a:xfrm>
        <a:prstGeom prst="roundRect">
          <a:avLst/>
        </a:prstGeom>
        <a:solidFill>
          <a:schemeClr val="bg2">
            <a:lumMod val="75000"/>
          </a:schemeClr>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600" b="1" i="0" u="none" strike="noStrike" cap="none" spc="0">
              <a:ln w="0"/>
              <a:solidFill>
                <a:srgbClr val="000000"/>
              </a:solidFill>
              <a:effectLst>
                <a:outerShdw blurRad="38100" dist="19050" dir="2700000" algn="tl" rotWithShape="0">
                  <a:schemeClr val="dk1">
                    <a:alpha val="40000"/>
                  </a:schemeClr>
                </a:outerShdw>
              </a:effectLst>
              <a:latin typeface="+mn-lt"/>
              <a:ea typeface="Calibri"/>
              <a:cs typeface="Calibri"/>
            </a:rPr>
            <a:t>Top Dept</a:t>
          </a:r>
        </a:p>
        <a:p>
          <a:pPr algn="ctr"/>
          <a:fld id="{C84C8F29-10DA-4C47-9655-26185DA8C5E0}"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Sales</a:t>
          </a:fld>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419100</xdr:colOff>
      <xdr:row>0</xdr:row>
      <xdr:rowOff>106680</xdr:rowOff>
    </xdr:from>
    <xdr:to>
      <xdr:col>16</xdr:col>
      <xdr:colOff>541020</xdr:colOff>
      <xdr:row>3</xdr:row>
      <xdr:rowOff>114300</xdr:rowOff>
    </xdr:to>
    <xdr:sp macro="" textlink="">
      <xdr:nvSpPr>
        <xdr:cNvPr id="9" name="Rectangle: Diagonal Corners Rounded 8">
          <a:extLst>
            <a:ext uri="{FF2B5EF4-FFF2-40B4-BE49-F238E27FC236}">
              <a16:creationId xmlns:a16="http://schemas.microsoft.com/office/drawing/2014/main" id="{2C71FB98-A755-EFBF-72B1-E9A6265279F1}"/>
            </a:ext>
          </a:extLst>
        </xdr:cNvPr>
        <xdr:cNvSpPr/>
      </xdr:nvSpPr>
      <xdr:spPr>
        <a:xfrm>
          <a:off x="3962400" y="106680"/>
          <a:ext cx="6217920" cy="556260"/>
        </a:xfrm>
        <a:prstGeom prst="round2Diag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EMPLOYEE</a:t>
          </a:r>
          <a:r>
            <a:rPr lang="en-IN" sz="2000" b="1" baseline="0"/>
            <a:t> PERFORMANCE AND ATTENDANCE</a:t>
          </a:r>
          <a:endParaRPr lang="en-IN" sz="2000" b="1"/>
        </a:p>
      </xdr:txBody>
    </xdr:sp>
    <xdr:clientData/>
  </xdr:twoCellAnchor>
  <xdr:twoCellAnchor>
    <xdr:from>
      <xdr:col>7</xdr:col>
      <xdr:colOff>556260</xdr:colOff>
      <xdr:row>20</xdr:row>
      <xdr:rowOff>7620</xdr:rowOff>
    </xdr:from>
    <xdr:to>
      <xdr:col>15</xdr:col>
      <xdr:colOff>312420</xdr:colOff>
      <xdr:row>30</xdr:row>
      <xdr:rowOff>175260</xdr:rowOff>
    </xdr:to>
    <xdr:graphicFrame macro="">
      <xdr:nvGraphicFramePr>
        <xdr:cNvPr id="14" name="Chart 13">
          <a:extLst>
            <a:ext uri="{FF2B5EF4-FFF2-40B4-BE49-F238E27FC236}">
              <a16:creationId xmlns:a16="http://schemas.microsoft.com/office/drawing/2014/main" id="{36649823-1737-4349-8718-7759F3DA1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8</xdr:row>
      <xdr:rowOff>99060</xdr:rowOff>
    </xdr:from>
    <xdr:to>
      <xdr:col>7</xdr:col>
      <xdr:colOff>0</xdr:colOff>
      <xdr:row>19</xdr:row>
      <xdr:rowOff>106680</xdr:rowOff>
    </xdr:to>
    <xdr:graphicFrame macro="">
      <xdr:nvGraphicFramePr>
        <xdr:cNvPr id="15" name="Chart 14">
          <a:extLst>
            <a:ext uri="{FF2B5EF4-FFF2-40B4-BE49-F238E27FC236}">
              <a16:creationId xmlns:a16="http://schemas.microsoft.com/office/drawing/2014/main" id="{7DD3F4D3-5CF2-4D72-BB7B-ED6C9854E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60960</xdr:colOff>
      <xdr:row>10</xdr:row>
      <xdr:rowOff>53340</xdr:rowOff>
    </xdr:from>
    <xdr:to>
      <xdr:col>16</xdr:col>
      <xdr:colOff>281940</xdr:colOff>
      <xdr:row>19</xdr:row>
      <xdr:rowOff>68579</xdr:rowOff>
    </xdr:to>
    <mc:AlternateContent xmlns:mc="http://schemas.openxmlformats.org/markup-compatibility/2006" xmlns:a14="http://schemas.microsoft.com/office/drawing/2010/main">
      <mc:Choice Requires="a14">
        <xdr:graphicFrame macro="">
          <xdr:nvGraphicFramePr>
            <xdr:cNvPr id="21" name="Attendance Category 1">
              <a:extLst>
                <a:ext uri="{FF2B5EF4-FFF2-40B4-BE49-F238E27FC236}">
                  <a16:creationId xmlns:a16="http://schemas.microsoft.com/office/drawing/2014/main" id="{82BF6077-8232-42C1-9590-E259FB3B706F}"/>
                </a:ext>
              </a:extLst>
            </xdr:cNvPr>
            <xdr:cNvGraphicFramePr/>
          </xdr:nvGraphicFramePr>
          <xdr:xfrm>
            <a:off x="0" y="0"/>
            <a:ext cx="0" cy="0"/>
          </xdr:xfrm>
          <a:graphic>
            <a:graphicData uri="http://schemas.microsoft.com/office/drawing/2010/slicer">
              <sle:slicer xmlns:sle="http://schemas.microsoft.com/office/drawing/2010/slicer" name="Attendance Category 1"/>
            </a:graphicData>
          </a:graphic>
        </xdr:graphicFrame>
      </mc:Choice>
      <mc:Fallback xmlns="">
        <xdr:sp macro="" textlink="">
          <xdr:nvSpPr>
            <xdr:cNvPr id="0" name=""/>
            <xdr:cNvSpPr>
              <a:spLocks noTextEdit="1"/>
            </xdr:cNvSpPr>
          </xdr:nvSpPr>
          <xdr:spPr>
            <a:xfrm>
              <a:off x="7871460" y="1882140"/>
              <a:ext cx="2049780" cy="1661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472440</xdr:colOff>
      <xdr:row>9</xdr:row>
      <xdr:rowOff>114301</xdr:rowOff>
    </xdr:from>
    <xdr:to>
      <xdr:col>20</xdr:col>
      <xdr:colOff>556260</xdr:colOff>
      <xdr:row>18</xdr:row>
      <xdr:rowOff>121921</xdr:rowOff>
    </xdr:to>
    <mc:AlternateContent xmlns:mc="http://schemas.openxmlformats.org/markup-compatibility/2006" xmlns:a14="http://schemas.microsoft.com/office/drawing/2010/main">
      <mc:Choice Requires="a14">
        <xdr:graphicFrame macro="">
          <xdr:nvGraphicFramePr>
            <xdr:cNvPr id="27" name="Department 1">
              <a:extLst>
                <a:ext uri="{FF2B5EF4-FFF2-40B4-BE49-F238E27FC236}">
                  <a16:creationId xmlns:a16="http://schemas.microsoft.com/office/drawing/2014/main" id="{BAA4FD67-FBC0-4E97-B80D-360753A4205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111740" y="1760221"/>
              <a:ext cx="245364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129540</xdr:colOff>
      <xdr:row>19</xdr:row>
      <xdr:rowOff>68581</xdr:rowOff>
    </xdr:from>
    <xdr:to>
      <xdr:col>19</xdr:col>
      <xdr:colOff>358140</xdr:colOff>
      <xdr:row>30</xdr:row>
      <xdr:rowOff>160021</xdr:rowOff>
    </xdr:to>
    <mc:AlternateContent xmlns:mc="http://schemas.openxmlformats.org/markup-compatibility/2006" xmlns:a14="http://schemas.microsoft.com/office/drawing/2010/main">
      <mc:Choice Requires="a14">
        <xdr:graphicFrame macro="">
          <xdr:nvGraphicFramePr>
            <xdr:cNvPr id="29" name="Performance Category 1">
              <a:extLst>
                <a:ext uri="{FF2B5EF4-FFF2-40B4-BE49-F238E27FC236}">
                  <a16:creationId xmlns:a16="http://schemas.microsoft.com/office/drawing/2014/main" id="{8CEDEC0E-4C09-4C32-9622-562D1456B571}"/>
                </a:ext>
              </a:extLst>
            </xdr:cNvPr>
            <xdr:cNvGraphicFramePr/>
          </xdr:nvGraphicFramePr>
          <xdr:xfrm>
            <a:off x="0" y="0"/>
            <a:ext cx="0" cy="0"/>
          </xdr:xfrm>
          <a:graphic>
            <a:graphicData uri="http://schemas.microsoft.com/office/drawing/2010/slicer">
              <sle:slicer xmlns:sle="http://schemas.microsoft.com/office/drawing/2010/slicer" name="Performance Category 1"/>
            </a:graphicData>
          </a:graphic>
        </xdr:graphicFrame>
      </mc:Choice>
      <mc:Fallback xmlns="">
        <xdr:sp macro="" textlink="">
          <xdr:nvSpPr>
            <xdr:cNvPr id="0" name=""/>
            <xdr:cNvSpPr>
              <a:spLocks noTextEdit="1"/>
            </xdr:cNvSpPr>
          </xdr:nvSpPr>
          <xdr:spPr>
            <a:xfrm>
              <a:off x="9768840" y="3543301"/>
              <a:ext cx="198882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182880</xdr:colOff>
      <xdr:row>8</xdr:row>
      <xdr:rowOff>129540</xdr:rowOff>
    </xdr:from>
    <xdr:to>
      <xdr:col>12</xdr:col>
      <xdr:colOff>441960</xdr:colOff>
      <xdr:row>19</xdr:row>
      <xdr:rowOff>99060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7A6D9C2-00EF-4BCA-A17C-31679ABD6F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335780" y="1592580"/>
              <a:ext cx="3307080"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76200</xdr:colOff>
      <xdr:row>20</xdr:row>
      <xdr:rowOff>0</xdr:rowOff>
    </xdr:from>
    <xdr:to>
      <xdr:col>7</xdr:col>
      <xdr:colOff>480060</xdr:colOff>
      <xdr:row>31</xdr:row>
      <xdr:rowOff>76200</xdr:rowOff>
    </xdr:to>
    <xdr:graphicFrame macro="">
      <xdr:nvGraphicFramePr>
        <xdr:cNvPr id="3" name="Chart 2">
          <a:extLst>
            <a:ext uri="{FF2B5EF4-FFF2-40B4-BE49-F238E27FC236}">
              <a16:creationId xmlns:a16="http://schemas.microsoft.com/office/drawing/2014/main" id="{0AF96CC0-0484-4E65-A5BE-1798A48B2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106680</xdr:colOff>
      <xdr:row>32</xdr:row>
      <xdr:rowOff>30480</xdr:rowOff>
    </xdr:from>
    <xdr:to>
      <xdr:col>7</xdr:col>
      <xdr:colOff>99060</xdr:colOff>
      <xdr:row>43</xdr:row>
      <xdr:rowOff>140970</xdr:rowOff>
    </xdr:to>
    <xdr:graphicFrame macro="">
      <xdr:nvGraphicFramePr>
        <xdr:cNvPr id="10" name="Chart 9">
          <a:extLst>
            <a:ext uri="{FF2B5EF4-FFF2-40B4-BE49-F238E27FC236}">
              <a16:creationId xmlns:a16="http://schemas.microsoft.com/office/drawing/2014/main" id="{3BD6BFDF-7BBE-477C-B6D0-AE0030E1D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228600</xdr:colOff>
      <xdr:row>31</xdr:row>
      <xdr:rowOff>114300</xdr:rowOff>
    </xdr:from>
    <xdr:to>
      <xdr:col>14</xdr:col>
      <xdr:colOff>228600</xdr:colOff>
      <xdr:row>43</xdr:row>
      <xdr:rowOff>76200</xdr:rowOff>
    </xdr:to>
    <xdr:graphicFrame macro="">
      <xdr:nvGraphicFramePr>
        <xdr:cNvPr id="11" name="Chart 10">
          <a:extLst>
            <a:ext uri="{FF2B5EF4-FFF2-40B4-BE49-F238E27FC236}">
              <a16:creationId xmlns:a16="http://schemas.microsoft.com/office/drawing/2014/main" id="{4287CB9F-6A9C-44EC-AC6F-EDA6CD8FE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419100</xdr:colOff>
      <xdr:row>31</xdr:row>
      <xdr:rowOff>106680</xdr:rowOff>
    </xdr:from>
    <xdr:to>
      <xdr:col>20</xdr:col>
      <xdr:colOff>381000</xdr:colOff>
      <xdr:row>43</xdr:row>
      <xdr:rowOff>106680</xdr:rowOff>
    </xdr:to>
    <xdr:graphicFrame macro="">
      <xdr:nvGraphicFramePr>
        <xdr:cNvPr id="13" name="Chart 12">
          <a:extLst>
            <a:ext uri="{FF2B5EF4-FFF2-40B4-BE49-F238E27FC236}">
              <a16:creationId xmlns:a16="http://schemas.microsoft.com/office/drawing/2014/main" id="{73E445F7-22D3-47B2-9DF6-1D0CC14F5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403860</xdr:colOff>
      <xdr:row>2</xdr:row>
      <xdr:rowOff>72390</xdr:rowOff>
    </xdr:from>
    <xdr:to>
      <xdr:col>11</xdr:col>
      <xdr:colOff>99060</xdr:colOff>
      <xdr:row>17</xdr:row>
      <xdr:rowOff>72390</xdr:rowOff>
    </xdr:to>
    <xdr:graphicFrame macro="">
      <xdr:nvGraphicFramePr>
        <xdr:cNvPr id="2" name="Chart 1">
          <a:extLst>
            <a:ext uri="{FF2B5EF4-FFF2-40B4-BE49-F238E27FC236}">
              <a16:creationId xmlns:a16="http://schemas.microsoft.com/office/drawing/2014/main" id="{DFEB1917-4FEA-0E5F-8F3E-B4E118A15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739140</xdr:colOff>
      <xdr:row>12</xdr:row>
      <xdr:rowOff>0</xdr:rowOff>
    </xdr:from>
    <xdr:to>
      <xdr:col>2</xdr:col>
      <xdr:colOff>861060</xdr:colOff>
      <xdr:row>25</xdr:row>
      <xdr:rowOff>89535</xdr:rowOff>
    </xdr:to>
    <mc:AlternateContent xmlns:mc="http://schemas.openxmlformats.org/markup-compatibility/2006" xmlns:a14="http://schemas.microsoft.com/office/drawing/2010/main">
      <mc:Choice Requires="a14">
        <xdr:graphicFrame macro="">
          <xdr:nvGraphicFramePr>
            <xdr:cNvPr id="3" name="Attendance Category">
              <a:extLst>
                <a:ext uri="{FF2B5EF4-FFF2-40B4-BE49-F238E27FC236}">
                  <a16:creationId xmlns:a16="http://schemas.microsoft.com/office/drawing/2014/main" id="{6474633B-173D-D259-BECE-2E06A33A95FF}"/>
                </a:ext>
              </a:extLst>
            </xdr:cNvPr>
            <xdr:cNvGraphicFramePr/>
          </xdr:nvGraphicFramePr>
          <xdr:xfrm>
            <a:off x="0" y="0"/>
            <a:ext cx="0" cy="0"/>
          </xdr:xfrm>
          <a:graphic>
            <a:graphicData uri="http://schemas.microsoft.com/office/drawing/2010/slicer">
              <sle:slicer xmlns:sle="http://schemas.microsoft.com/office/drawing/2010/slicer" name="Attendance Category"/>
            </a:graphicData>
          </a:graphic>
        </xdr:graphicFrame>
      </mc:Choice>
      <mc:Fallback xmlns="">
        <xdr:sp macro="" textlink="">
          <xdr:nvSpPr>
            <xdr:cNvPr id="0" name=""/>
            <xdr:cNvSpPr>
              <a:spLocks noTextEdit="1"/>
            </xdr:cNvSpPr>
          </xdr:nvSpPr>
          <xdr:spPr>
            <a:xfrm>
              <a:off x="1996440" y="2194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2.419560879629" createdVersion="8" refreshedVersion="8" minRefreshableVersion="3" recordCount="100" xr:uid="{62F8DF61-15A2-455C-A3E0-0524766F993D}">
  <cacheSource type="worksheet">
    <worksheetSource ref="A1:J101" sheet="Employee Performance and Attend"/>
  </cacheSource>
  <cacheFields count="10">
    <cacheField name="Employee ID" numFmtId="0">
      <sharedItems/>
    </cacheField>
    <cacheField name="Name" numFmtId="0">
      <sharedItems/>
    </cacheField>
    <cacheField name="Department" numFmtId="0">
      <sharedItems count="5">
        <s v="Sales"/>
        <s v="HR"/>
        <s v="Marketing"/>
        <s v="Finance"/>
        <s v="IT"/>
      </sharedItems>
    </cacheField>
    <cacheField name="Monthly Attendance" numFmtId="0">
      <sharedItems containsSemiMixedTypes="0" containsString="0" containsNumber="1" containsInteger="1" minValue="15" maxValue="22"/>
    </cacheField>
    <cacheField name="Monthly Target" numFmtId="0">
      <sharedItems containsSemiMixedTypes="0" containsString="0" containsNumber="1" containsInteger="1" minValue="80" maxValue="119" count="38">
        <n v="107"/>
        <n v="106"/>
        <n v="81"/>
        <n v="113"/>
        <n v="92"/>
        <n v="80"/>
        <n v="89"/>
        <n v="93"/>
        <n v="102"/>
        <n v="94"/>
        <n v="109"/>
        <n v="116"/>
        <n v="83"/>
        <n v="95"/>
        <n v="96"/>
        <n v="110"/>
        <n v="84"/>
        <n v="119"/>
        <n v="100"/>
        <n v="112"/>
        <n v="117"/>
        <n v="82"/>
        <n v="111"/>
        <n v="97"/>
        <n v="90"/>
        <n v="101"/>
        <n v="103"/>
        <n v="85"/>
        <n v="114"/>
        <n v="105"/>
        <n v="104"/>
        <n v="99"/>
        <n v="98"/>
        <n v="87"/>
        <n v="88"/>
        <n v="108"/>
        <n v="91"/>
        <n v="118"/>
      </sharedItems>
    </cacheField>
    <cacheField name="Actual Performance" numFmtId="0">
      <sharedItems containsSemiMixedTypes="0" containsString="0" containsNumber="1" containsInteger="1" minValue="60" maxValue="129"/>
    </cacheField>
    <cacheField name="Performance Achivement %" numFmtId="0">
      <sharedItems containsSemiMixedTypes="0" containsString="0" containsNumber="1" minValue="54.621848739495796" maxValue="150"/>
    </cacheField>
    <cacheField name="Attendance Rate" numFmtId="0">
      <sharedItems containsSemiMixedTypes="0" containsString="0" containsNumber="1" minValue="68.181818181818173" maxValue="100" count="8">
        <n v="77.272727272727266"/>
        <n v="86.36363636363636"/>
        <n v="68.181818181818173"/>
        <n v="72.727272727272734"/>
        <n v="95.454545454545453"/>
        <n v="81.818181818181827"/>
        <n v="90.909090909090907"/>
        <n v="100"/>
      </sharedItems>
    </cacheField>
    <cacheField name="Performance Category" numFmtId="0">
      <sharedItems count="4">
        <s v="Needs Improvement"/>
        <s v="Excellent"/>
        <s v="Underperformer"/>
        <s v="Good"/>
      </sharedItems>
    </cacheField>
    <cacheField name="Attendance Category" numFmtId="0">
      <sharedItems count="3">
        <s v="Poor"/>
        <s v="Excellent"/>
        <s v="Satisfactory"/>
      </sharedItems>
    </cacheField>
  </cacheFields>
  <extLst>
    <ext xmlns:x14="http://schemas.microsoft.com/office/spreadsheetml/2009/9/main" uri="{725AE2AE-9491-48be-B2B4-4EB974FC3084}">
      <x14:pivotCacheDefinition pivotCacheId="16352113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2.419561574075" createdVersion="8" refreshedVersion="8" minRefreshableVersion="3" recordCount="30" xr:uid="{6BF56886-8506-40A7-BDAC-919B22AC0524}">
  <cacheSource type="worksheet">
    <worksheetSource ref="A1:J31" sheet="underperformer"/>
  </cacheSource>
  <cacheFields count="10">
    <cacheField name="Employee ID" numFmtId="0">
      <sharedItems/>
    </cacheField>
    <cacheField name="Name" numFmtId="0">
      <sharedItems/>
    </cacheField>
    <cacheField name="Department" numFmtId="0">
      <sharedItems count="5">
        <s v="Marketing"/>
        <s v="Finance"/>
        <s v="Sales"/>
        <s v="IT"/>
        <s v="HR"/>
      </sharedItems>
    </cacheField>
    <cacheField name="Monthly Attendance" numFmtId="0">
      <sharedItems containsSemiMixedTypes="0" containsString="0" containsNumber="1" containsInteger="1" minValue="15" maxValue="22"/>
    </cacheField>
    <cacheField name="Monthly Target" numFmtId="0">
      <sharedItems containsSemiMixedTypes="0" containsString="0" containsNumber="1" containsInteger="1" minValue="81" maxValue="119"/>
    </cacheField>
    <cacheField name="Actual Performance" numFmtId="0">
      <sharedItems containsSemiMixedTypes="0" containsString="0" containsNumber="1" containsInteger="1" minValue="62" maxValue="129"/>
    </cacheField>
    <cacheField name="Performance Achivement %" numFmtId="0">
      <sharedItems containsSemiMixedTypes="0" containsString="0" containsNumber="1" minValue="54.621848739495796" maxValue="79.487179487179489"/>
    </cacheField>
    <cacheField name="Attendance Rate" numFmtId="0">
      <sharedItems containsSemiMixedTypes="0" containsString="0" containsNumber="1" minValue="68.181818181818173" maxValue="100"/>
    </cacheField>
    <cacheField name="Performance Category" numFmtId="0">
      <sharedItems/>
    </cacheField>
    <cacheField name="Attendance Catego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2.419561574075" createdVersion="8" refreshedVersion="8" minRefreshableVersion="3" recordCount="10" xr:uid="{FC997448-01F0-4565-9984-05953AAB2D82}">
  <cacheSource type="worksheet">
    <worksheetSource ref="A1:C11" sheet="top10"/>
  </cacheSource>
  <cacheFields count="3">
    <cacheField name="Name" numFmtId="0">
      <sharedItems count="10">
        <s v="Employee_5"/>
        <s v="Employee_86"/>
        <s v="Employee_58"/>
        <s v="Employee_97"/>
        <s v="Employee_89"/>
        <s v="Employee_77"/>
        <s v="Employee_42"/>
        <s v="Employee_51"/>
        <s v="Employee_36"/>
        <s v="Employee_7"/>
      </sharedItems>
    </cacheField>
    <cacheField name="Performance Achivement %" numFmtId="0">
      <sharedItems containsSemiMixedTypes="0" containsString="0" containsNumber="1" minValue="56.25" maxValue="143.75"/>
    </cacheField>
    <cacheField name="Deartment"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2.865295023148" createdVersion="8" refreshedVersion="8" minRefreshableVersion="3" recordCount="100" xr:uid="{D65C396C-497B-4EB1-A743-C729222CA5B3}">
  <cacheSource type="worksheet">
    <worksheetSource ref="A1:K101" sheet="Employee Performance and Attend"/>
  </cacheSource>
  <cacheFields count="11">
    <cacheField name="Employee ID" numFmtId="0">
      <sharedItems/>
    </cacheField>
    <cacheField name="Name" numFmtId="0">
      <sharedItems/>
    </cacheField>
    <cacheField name="Department" numFmtId="0">
      <sharedItems count="5">
        <s v="Sales"/>
        <s v="HR"/>
        <s v="Marketing"/>
        <s v="Finance"/>
        <s v="IT"/>
      </sharedItems>
    </cacheField>
    <cacheField name="Monthly Attendance" numFmtId="0">
      <sharedItems containsSemiMixedTypes="0" containsString="0" containsNumber="1" containsInteger="1" minValue="15" maxValue="22"/>
    </cacheField>
    <cacheField name="Monthly Target" numFmtId="0">
      <sharedItems containsSemiMixedTypes="0" containsString="0" containsNumber="1" containsInteger="1" minValue="80" maxValue="119"/>
    </cacheField>
    <cacheField name="Actual Performance" numFmtId="0">
      <sharedItems containsSemiMixedTypes="0" containsString="0" containsNumber="1" containsInteger="1" minValue="60" maxValue="129"/>
    </cacheField>
    <cacheField name="Performance Achivement %" numFmtId="0">
      <sharedItems containsSemiMixedTypes="0" containsString="0" containsNumber="1" minValue="54.621848739495796" maxValue="150"/>
    </cacheField>
    <cacheField name="Attendance Rate" numFmtId="0">
      <sharedItems containsSemiMixedTypes="0" containsString="0" containsNumber="1" minValue="68.181818181818173" maxValue="100"/>
    </cacheField>
    <cacheField name="Performance Category" numFmtId="0">
      <sharedItems/>
    </cacheField>
    <cacheField name="Attendance Category" numFmtId="0">
      <sharedItems/>
    </cacheField>
    <cacheField name="Absenteesm_days" numFmtId="0">
      <sharedItems containsSemiMixedTypes="0" containsString="0" containsNumber="1" containsInteger="1" minValue="0" maxValue="7" count="8">
        <n v="7"/>
        <n v="0"/>
        <n v="2"/>
        <n v="3"/>
        <n v="6"/>
        <n v="4"/>
        <n v="1"/>
        <n v="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1041"/>
    <s v="Employee_41"/>
    <x v="0"/>
    <n v="17"/>
    <x v="0"/>
    <n v="61"/>
    <n v="86.597938144329902"/>
    <x v="0"/>
    <x v="0"/>
    <x v="0"/>
  </r>
  <r>
    <s v="E1009"/>
    <s v="Employee_9"/>
    <x v="1"/>
    <n v="19"/>
    <x v="1"/>
    <n v="110"/>
    <n v="105.31914893617021"/>
    <x v="1"/>
    <x v="1"/>
    <x v="0"/>
  </r>
  <r>
    <s v="E1089"/>
    <s v="Employee_89"/>
    <x v="0"/>
    <n v="15"/>
    <x v="2"/>
    <n v="114"/>
    <n v="100"/>
    <x v="2"/>
    <x v="1"/>
    <x v="0"/>
  </r>
  <r>
    <s v="E1040"/>
    <s v="Employee_40"/>
    <x v="2"/>
    <n v="15"/>
    <x v="3"/>
    <n v="87"/>
    <n v="107.69230769230769"/>
    <x v="2"/>
    <x v="1"/>
    <x v="0"/>
  </r>
  <r>
    <s v="E1090"/>
    <s v="Employee_90"/>
    <x v="3"/>
    <n v="16"/>
    <x v="4"/>
    <n v="68"/>
    <n v="55.555555555555557"/>
    <x v="3"/>
    <x v="2"/>
    <x v="0"/>
  </r>
  <r>
    <s v="E1014"/>
    <s v="Employee_14"/>
    <x v="4"/>
    <n v="19"/>
    <x v="5"/>
    <n v="120"/>
    <n v="111.45833333333333"/>
    <x v="1"/>
    <x v="1"/>
    <x v="0"/>
  </r>
  <r>
    <s v="E1027"/>
    <s v="Employee_27"/>
    <x v="0"/>
    <n v="21"/>
    <x v="6"/>
    <n v="106"/>
    <n v="73.275862068965509"/>
    <x v="4"/>
    <x v="2"/>
    <x v="1"/>
  </r>
  <r>
    <s v="E1032"/>
    <s v="Employee_32"/>
    <x v="1"/>
    <n v="21"/>
    <x v="7"/>
    <n v="85"/>
    <n v="104.21052631578947"/>
    <x v="4"/>
    <x v="1"/>
    <x v="1"/>
  </r>
  <r>
    <s v="E1024"/>
    <s v="Employee_24"/>
    <x v="3"/>
    <n v="18"/>
    <x v="8"/>
    <n v="104"/>
    <n v="96.078431372549019"/>
    <x v="5"/>
    <x v="3"/>
    <x v="0"/>
  </r>
  <r>
    <s v="E1068"/>
    <s v="Employee_68"/>
    <x v="2"/>
    <n v="20"/>
    <x v="9"/>
    <n v="99"/>
    <n v="86.666666666666671"/>
    <x v="6"/>
    <x v="0"/>
    <x v="2"/>
  </r>
  <r>
    <s v="E1067"/>
    <s v="Employee_67"/>
    <x v="4"/>
    <n v="17"/>
    <x v="10"/>
    <n v="67"/>
    <n v="133.73493975903614"/>
    <x v="0"/>
    <x v="1"/>
    <x v="0"/>
  </r>
  <r>
    <s v="E1056"/>
    <s v="Employee_56"/>
    <x v="2"/>
    <n v="16"/>
    <x v="11"/>
    <n v="76"/>
    <n v="75.609756097560975"/>
    <x v="3"/>
    <x v="2"/>
    <x v="0"/>
  </r>
  <r>
    <s v="E1079"/>
    <s v="Employee_79"/>
    <x v="3"/>
    <n v="19"/>
    <x v="12"/>
    <n v="92"/>
    <n v="140.47619047619045"/>
    <x v="1"/>
    <x v="1"/>
    <x v="0"/>
  </r>
  <r>
    <s v="E1096"/>
    <s v="Employee_96"/>
    <x v="2"/>
    <n v="19"/>
    <x v="13"/>
    <n v="65"/>
    <n v="72.826086956521735"/>
    <x v="1"/>
    <x v="2"/>
    <x v="0"/>
  </r>
  <r>
    <s v="E1030"/>
    <s v="Employee_30"/>
    <x v="4"/>
    <n v="20"/>
    <x v="14"/>
    <n v="107"/>
    <n v="108.54700854700855"/>
    <x v="6"/>
    <x v="1"/>
    <x v="2"/>
  </r>
  <r>
    <s v="E1058"/>
    <s v="Employee_58"/>
    <x v="0"/>
    <n v="16"/>
    <x v="7"/>
    <n v="84"/>
    <n v="75.903614457831324"/>
    <x v="3"/>
    <x v="2"/>
    <x v="0"/>
  </r>
  <r>
    <s v="E1094"/>
    <s v="Employee_94"/>
    <x v="1"/>
    <n v="16"/>
    <x v="15"/>
    <n v="95"/>
    <n v="71.428571428571431"/>
    <x v="3"/>
    <x v="2"/>
    <x v="0"/>
  </r>
  <r>
    <s v="E1063"/>
    <s v="Employee_63"/>
    <x v="0"/>
    <n v="19"/>
    <x v="3"/>
    <n v="69"/>
    <n v="109.52380952380953"/>
    <x v="1"/>
    <x v="1"/>
    <x v="0"/>
  </r>
  <r>
    <s v="E1034"/>
    <s v="Employee_34"/>
    <x v="4"/>
    <n v="19"/>
    <x v="5"/>
    <n v="60"/>
    <n v="58.407079646017699"/>
    <x v="1"/>
    <x v="2"/>
    <x v="0"/>
  </r>
  <r>
    <s v="E1017"/>
    <s v="Employee_17"/>
    <x v="3"/>
    <n v="19"/>
    <x v="0"/>
    <n v="129"/>
    <n v="61.06194690265486"/>
    <x v="1"/>
    <x v="2"/>
    <x v="0"/>
  </r>
  <r>
    <s v="E1053"/>
    <s v="Employee_53"/>
    <x v="0"/>
    <n v="16"/>
    <x v="14"/>
    <n v="87"/>
    <n v="125.84269662921348"/>
    <x v="3"/>
    <x v="1"/>
    <x v="0"/>
  </r>
  <r>
    <s v="E1050"/>
    <s v="Employee_50"/>
    <x v="3"/>
    <n v="18"/>
    <x v="16"/>
    <n v="97"/>
    <n v="112.8440366972477"/>
    <x v="5"/>
    <x v="1"/>
    <x v="0"/>
  </r>
  <r>
    <s v="E1020"/>
    <s v="Employee_20"/>
    <x v="1"/>
    <n v="19"/>
    <x v="15"/>
    <n v="71"/>
    <n v="90.625"/>
    <x v="1"/>
    <x v="3"/>
    <x v="0"/>
  </r>
  <r>
    <s v="E1055"/>
    <s v="Employee_55"/>
    <x v="1"/>
    <n v="18"/>
    <x v="9"/>
    <n v="116"/>
    <n v="68.141592920353972"/>
    <x v="5"/>
    <x v="2"/>
    <x v="0"/>
  </r>
  <r>
    <s v="E1054"/>
    <s v="Employee_54"/>
    <x v="3"/>
    <n v="18"/>
    <x v="8"/>
    <n v="98"/>
    <n v="61.165048543689316"/>
    <x v="5"/>
    <x v="2"/>
    <x v="0"/>
  </r>
  <r>
    <s v="E1099"/>
    <s v="Employee_99"/>
    <x v="3"/>
    <n v="22"/>
    <x v="17"/>
    <n v="65"/>
    <n v="140"/>
    <x v="7"/>
    <x v="1"/>
    <x v="1"/>
  </r>
  <r>
    <s v="E1005"/>
    <s v="Employee_5"/>
    <x v="2"/>
    <n v="19"/>
    <x v="18"/>
    <n v="86"/>
    <n v="150"/>
    <x v="1"/>
    <x v="1"/>
    <x v="0"/>
  </r>
  <r>
    <s v="E1026"/>
    <s v="Employee_26"/>
    <x v="4"/>
    <n v="16"/>
    <x v="11"/>
    <n v="85"/>
    <n v="86"/>
    <x v="3"/>
    <x v="0"/>
    <x v="0"/>
  </r>
  <r>
    <s v="E1037"/>
    <s v="Employee_37"/>
    <x v="2"/>
    <n v="17"/>
    <x v="5"/>
    <n v="106"/>
    <n v="131.70731707317074"/>
    <x v="0"/>
    <x v="1"/>
    <x v="0"/>
  </r>
  <r>
    <s v="E1000"/>
    <s v="Employee_0"/>
    <x v="0"/>
    <n v="15"/>
    <x v="19"/>
    <n v="63"/>
    <n v="57.009345794392516"/>
    <x v="2"/>
    <x v="2"/>
    <x v="0"/>
  </r>
  <r>
    <s v="E1062"/>
    <s v="Employee_62"/>
    <x v="0"/>
    <n v="18"/>
    <x v="20"/>
    <n v="127"/>
    <n v="89.887640449438194"/>
    <x v="5"/>
    <x v="0"/>
    <x v="0"/>
  </r>
  <r>
    <s v="E1038"/>
    <s v="Employee_38"/>
    <x v="1"/>
    <n v="22"/>
    <x v="17"/>
    <n v="115"/>
    <n v="65.765765765765778"/>
    <x v="7"/>
    <x v="2"/>
    <x v="1"/>
  </r>
  <r>
    <s v="E1093"/>
    <s v="Employee_93"/>
    <x v="1"/>
    <n v="20"/>
    <x v="13"/>
    <n v="99"/>
    <n v="77.272727272727266"/>
    <x v="6"/>
    <x v="2"/>
    <x v="2"/>
  </r>
  <r>
    <s v="E1087"/>
    <s v="Employee_87"/>
    <x v="0"/>
    <n v="19"/>
    <x v="3"/>
    <n v="121"/>
    <n v="125"/>
    <x v="1"/>
    <x v="1"/>
    <x v="0"/>
  </r>
  <r>
    <s v="E1046"/>
    <s v="Employee_46"/>
    <x v="2"/>
    <n v="22"/>
    <x v="3"/>
    <n v="66"/>
    <n v="80"/>
    <x v="7"/>
    <x v="0"/>
    <x v="1"/>
  </r>
  <r>
    <s v="E1031"/>
    <s v="Employee_31"/>
    <x v="3"/>
    <n v="21"/>
    <x v="18"/>
    <n v="120"/>
    <n v="96.638655462184872"/>
    <x v="4"/>
    <x v="3"/>
    <x v="1"/>
  </r>
  <r>
    <s v="E1083"/>
    <s v="Employee_83"/>
    <x v="4"/>
    <n v="20"/>
    <x v="14"/>
    <n v="129"/>
    <n v="119.44444444444444"/>
    <x v="6"/>
    <x v="1"/>
    <x v="2"/>
  </r>
  <r>
    <s v="E1023"/>
    <s v="Employee_23"/>
    <x v="1"/>
    <n v="17"/>
    <x v="21"/>
    <n v="108"/>
    <n v="123.40425531914893"/>
    <x v="0"/>
    <x v="1"/>
    <x v="0"/>
  </r>
  <r>
    <s v="E1039"/>
    <s v="Employee_39"/>
    <x v="2"/>
    <n v="21"/>
    <x v="22"/>
    <n v="73"/>
    <n v="143.75"/>
    <x v="4"/>
    <x v="1"/>
    <x v="1"/>
  </r>
  <r>
    <s v="E1001"/>
    <s v="Employee_1"/>
    <x v="1"/>
    <n v="15"/>
    <x v="5"/>
    <n v="115"/>
    <n v="103.77358490566037"/>
    <x v="2"/>
    <x v="1"/>
    <x v="0"/>
  </r>
  <r>
    <s v="E1064"/>
    <s v="Employee_64"/>
    <x v="2"/>
    <n v="15"/>
    <x v="20"/>
    <n v="126"/>
    <n v="104.80769230769231"/>
    <x v="2"/>
    <x v="1"/>
    <x v="0"/>
  </r>
  <r>
    <s v="E1002"/>
    <s v="Employee_2"/>
    <x v="2"/>
    <n v="22"/>
    <x v="23"/>
    <n v="84"/>
    <n v="140.74074074074073"/>
    <x v="7"/>
    <x v="1"/>
    <x v="1"/>
  </r>
  <r>
    <s v="E1095"/>
    <s v="Employee_95"/>
    <x v="4"/>
    <n v="17"/>
    <x v="24"/>
    <n v="83"/>
    <n v="82.524271844660191"/>
    <x v="0"/>
    <x v="0"/>
    <x v="0"/>
  </r>
  <r>
    <s v="E1022"/>
    <s v="Employee_22"/>
    <x v="3"/>
    <n v="17"/>
    <x v="20"/>
    <n v="93"/>
    <n v="64.545454545454547"/>
    <x v="0"/>
    <x v="2"/>
    <x v="0"/>
  </r>
  <r>
    <s v="E1003"/>
    <s v="Employee_3"/>
    <x v="3"/>
    <n v="15"/>
    <x v="22"/>
    <n v="126"/>
    <n v="76.991150442477874"/>
    <x v="2"/>
    <x v="2"/>
    <x v="0"/>
  </r>
  <r>
    <s v="E1008"/>
    <s v="Employee_8"/>
    <x v="1"/>
    <n v="18"/>
    <x v="25"/>
    <n v="120"/>
    <n v="101.96078431372548"/>
    <x v="5"/>
    <x v="1"/>
    <x v="0"/>
  </r>
  <r>
    <s v="E1060"/>
    <s v="Employee_60"/>
    <x v="0"/>
    <n v="16"/>
    <x v="24"/>
    <n v="72"/>
    <n v="74.137931034482762"/>
    <x v="3"/>
    <x v="2"/>
    <x v="0"/>
  </r>
  <r>
    <s v="E1010"/>
    <s v="Employee_10"/>
    <x v="1"/>
    <n v="22"/>
    <x v="4"/>
    <n v="78"/>
    <n v="61.467889908256879"/>
    <x v="7"/>
    <x v="2"/>
    <x v="1"/>
  </r>
  <r>
    <s v="E1019"/>
    <s v="Employee_19"/>
    <x v="2"/>
    <n v="18"/>
    <x v="16"/>
    <n v="64"/>
    <n v="120.56074766355141"/>
    <x v="5"/>
    <x v="1"/>
    <x v="0"/>
  </r>
  <r>
    <s v="E1028"/>
    <s v="Employee_28"/>
    <x v="2"/>
    <n v="15"/>
    <x v="6"/>
    <n v="115"/>
    <n v="132.5"/>
    <x v="2"/>
    <x v="1"/>
    <x v="0"/>
  </r>
  <r>
    <s v="E1052"/>
    <s v="Employee_52"/>
    <x v="0"/>
    <n v="22"/>
    <x v="10"/>
    <n v="123"/>
    <n v="81"/>
    <x v="7"/>
    <x v="0"/>
    <x v="1"/>
  </r>
  <r>
    <s v="E1074"/>
    <s v="Employee_74"/>
    <x v="3"/>
    <n v="18"/>
    <x v="9"/>
    <n v="123"/>
    <n v="62.5"/>
    <x v="5"/>
    <x v="2"/>
    <x v="0"/>
  </r>
  <r>
    <s v="E1015"/>
    <s v="Employee_15"/>
    <x v="4"/>
    <n v="22"/>
    <x v="18"/>
    <n v="81"/>
    <n v="90.322580645161281"/>
    <x v="7"/>
    <x v="3"/>
    <x v="1"/>
  </r>
  <r>
    <s v="E1080"/>
    <s v="Employee_80"/>
    <x v="4"/>
    <n v="20"/>
    <x v="6"/>
    <n v="112"/>
    <n v="107.95454545454545"/>
    <x v="6"/>
    <x v="1"/>
    <x v="2"/>
  </r>
  <r>
    <s v="E1085"/>
    <s v="Employee_85"/>
    <x v="2"/>
    <n v="17"/>
    <x v="26"/>
    <n v="63"/>
    <n v="71.186440677966104"/>
    <x v="0"/>
    <x v="2"/>
    <x v="0"/>
  </r>
  <r>
    <s v="E1065"/>
    <s v="Employee_65"/>
    <x v="2"/>
    <n v="18"/>
    <x v="3"/>
    <n v="77"/>
    <n v="99.107142857142861"/>
    <x v="5"/>
    <x v="3"/>
    <x v="0"/>
  </r>
  <r>
    <s v="E1047"/>
    <s v="Employee_47"/>
    <x v="4"/>
    <n v="20"/>
    <x v="21"/>
    <n v="62"/>
    <n v="84.782608695652172"/>
    <x v="6"/>
    <x v="0"/>
    <x v="2"/>
  </r>
  <r>
    <s v="E1016"/>
    <s v="Employee_16"/>
    <x v="1"/>
    <n v="20"/>
    <x v="27"/>
    <n v="80"/>
    <n v="86.36363636363636"/>
    <x v="6"/>
    <x v="0"/>
    <x v="2"/>
  </r>
  <r>
    <s v="E1098"/>
    <s v="Employee_98"/>
    <x v="1"/>
    <n v="21"/>
    <x v="12"/>
    <n v="63"/>
    <n v="88.235294117647058"/>
    <x v="4"/>
    <x v="0"/>
    <x v="1"/>
  </r>
  <r>
    <s v="E1013"/>
    <s v="Employee_13"/>
    <x v="2"/>
    <n v="21"/>
    <x v="28"/>
    <n v="101"/>
    <n v="68.421052631578945"/>
    <x v="4"/>
    <x v="2"/>
    <x v="1"/>
  </r>
  <r>
    <s v="E1025"/>
    <s v="Employee_25"/>
    <x v="3"/>
    <n v="15"/>
    <x v="11"/>
    <n v="86"/>
    <n v="54.621848739495796"/>
    <x v="2"/>
    <x v="2"/>
    <x v="0"/>
  </r>
  <r>
    <s v="E1012"/>
    <s v="Employee_12"/>
    <x v="1"/>
    <n v="19"/>
    <x v="3"/>
    <n v="64"/>
    <n v="110.8433734939759"/>
    <x v="1"/>
    <x v="1"/>
    <x v="0"/>
  </r>
  <r>
    <s v="E1082"/>
    <s v="Employee_82"/>
    <x v="0"/>
    <n v="19"/>
    <x v="6"/>
    <n v="80"/>
    <n v="95.876288659793815"/>
    <x v="1"/>
    <x v="3"/>
    <x v="0"/>
  </r>
  <r>
    <s v="E1045"/>
    <s v="Employee_45"/>
    <x v="4"/>
    <n v="22"/>
    <x v="29"/>
    <n v="115"/>
    <n v="118.8118811881188"/>
    <x v="7"/>
    <x v="1"/>
    <x v="1"/>
  </r>
  <r>
    <s v="E1007"/>
    <s v="Employee_7"/>
    <x v="4"/>
    <n v="16"/>
    <x v="30"/>
    <n v="109"/>
    <n v="91.397849462365585"/>
    <x v="3"/>
    <x v="3"/>
    <x v="0"/>
  </r>
  <r>
    <s v="E1072"/>
    <s v="Employee_72"/>
    <x v="1"/>
    <n v="15"/>
    <x v="19"/>
    <n v="111"/>
    <n v="97.647058823529406"/>
    <x v="2"/>
    <x v="3"/>
    <x v="0"/>
  </r>
  <r>
    <s v="E1084"/>
    <s v="Employee_84"/>
    <x v="4"/>
    <n v="16"/>
    <x v="31"/>
    <n v="129"/>
    <n v="90.109890109890117"/>
    <x v="3"/>
    <x v="3"/>
    <x v="0"/>
  </r>
  <r>
    <s v="E1036"/>
    <s v="Employee_36"/>
    <x v="3"/>
    <n v="20"/>
    <x v="12"/>
    <n v="111"/>
    <n v="134.375"/>
    <x v="6"/>
    <x v="1"/>
    <x v="2"/>
  </r>
  <r>
    <s v="E1006"/>
    <s v="Employee_6"/>
    <x v="1"/>
    <n v="20"/>
    <x v="29"/>
    <n v="91"/>
    <n v="119.10112359550563"/>
    <x v="6"/>
    <x v="1"/>
    <x v="2"/>
  </r>
  <r>
    <s v="E1076"/>
    <s v="Employee_76"/>
    <x v="3"/>
    <n v="18"/>
    <x v="14"/>
    <n v="115"/>
    <n v="83.908045977011497"/>
    <x v="5"/>
    <x v="0"/>
    <x v="0"/>
  </r>
  <r>
    <s v="E1069"/>
    <s v="Employee_69"/>
    <x v="1"/>
    <n v="21"/>
    <x v="1"/>
    <n v="101"/>
    <n v="119.79166666666667"/>
    <x v="4"/>
    <x v="1"/>
    <x v="1"/>
  </r>
  <r>
    <s v="E1057"/>
    <s v="Employee_57"/>
    <x v="2"/>
    <n v="22"/>
    <x v="18"/>
    <n v="103"/>
    <n v="94.117647058823522"/>
    <x v="7"/>
    <x v="3"/>
    <x v="1"/>
  </r>
  <r>
    <s v="E1088"/>
    <s v="Employee_88"/>
    <x v="3"/>
    <n v="21"/>
    <x v="27"/>
    <n v="83"/>
    <n v="144.04761904761904"/>
    <x v="4"/>
    <x v="1"/>
    <x v="1"/>
  </r>
  <r>
    <s v="E1059"/>
    <s v="Employee_59"/>
    <x v="1"/>
    <n v="18"/>
    <x v="2"/>
    <n v="76"/>
    <n v="88.596491228070178"/>
    <x v="5"/>
    <x v="0"/>
    <x v="0"/>
  </r>
  <r>
    <s v="E1018"/>
    <s v="Employee_18"/>
    <x v="3"/>
    <n v="17"/>
    <x v="14"/>
    <n v="60"/>
    <n v="75"/>
    <x v="0"/>
    <x v="2"/>
    <x v="0"/>
  </r>
  <r>
    <s v="E1029"/>
    <s v="Employee_29"/>
    <x v="2"/>
    <n v="15"/>
    <x v="32"/>
    <n v="122"/>
    <n v="56.25"/>
    <x v="2"/>
    <x v="2"/>
    <x v="0"/>
  </r>
  <r>
    <s v="E1043"/>
    <s v="Employee_43"/>
    <x v="0"/>
    <n v="16"/>
    <x v="33"/>
    <n v="73"/>
    <n v="79.487179487179489"/>
    <x v="3"/>
    <x v="2"/>
    <x v="0"/>
  </r>
  <r>
    <s v="E1091"/>
    <s v="Employee_91"/>
    <x v="3"/>
    <n v="16"/>
    <x v="24"/>
    <n v="62"/>
    <n v="108.25688073394495"/>
    <x v="3"/>
    <x v="1"/>
    <x v="0"/>
  </r>
  <r>
    <s v="E1081"/>
    <s v="Employee_81"/>
    <x v="0"/>
    <n v="17"/>
    <x v="14"/>
    <n v="81"/>
    <n v="96.25"/>
    <x v="0"/>
    <x v="3"/>
    <x v="0"/>
  </r>
  <r>
    <s v="E1077"/>
    <s v="Employee_77"/>
    <x v="4"/>
    <n v="22"/>
    <x v="16"/>
    <n v="118"/>
    <n v="68.888888888888886"/>
    <x v="7"/>
    <x v="2"/>
    <x v="1"/>
  </r>
  <r>
    <s v="E1033"/>
    <s v="Employee_33"/>
    <x v="3"/>
    <n v="15"/>
    <x v="34"/>
    <n v="95"/>
    <n v="107.07964601769913"/>
    <x v="2"/>
    <x v="1"/>
    <x v="0"/>
  </r>
  <r>
    <s v="E1049"/>
    <s v="Employee_49"/>
    <x v="0"/>
    <n v="22"/>
    <x v="5"/>
    <n v="77"/>
    <n v="129.21348314606743"/>
    <x v="7"/>
    <x v="1"/>
    <x v="1"/>
  </r>
  <r>
    <s v="E1066"/>
    <s v="Employee_66"/>
    <x v="2"/>
    <n v="22"/>
    <x v="23"/>
    <n v="93"/>
    <n v="130.30303030303031"/>
    <x v="7"/>
    <x v="1"/>
    <x v="1"/>
  </r>
  <r>
    <s v="E1078"/>
    <s v="Employee_78"/>
    <x v="2"/>
    <n v="19"/>
    <x v="35"/>
    <n v="129"/>
    <n v="84.375"/>
    <x v="1"/>
    <x v="0"/>
    <x v="0"/>
  </r>
  <r>
    <s v="E1048"/>
    <s v="Employee_48"/>
    <x v="4"/>
    <n v="18"/>
    <x v="36"/>
    <n v="82"/>
    <n v="76.19047619047619"/>
    <x v="5"/>
    <x v="2"/>
    <x v="0"/>
  </r>
  <r>
    <s v="E1061"/>
    <s v="Employee_61"/>
    <x v="4"/>
    <n v="18"/>
    <x v="37"/>
    <n v="84"/>
    <n v="56.637168141592923"/>
    <x v="5"/>
    <x v="2"/>
    <x v="0"/>
  </r>
  <r>
    <s v="E1051"/>
    <s v="Employee_51"/>
    <x v="1"/>
    <n v="19"/>
    <x v="10"/>
    <n v="74"/>
    <n v="130.85106382978725"/>
    <x v="1"/>
    <x v="1"/>
    <x v="0"/>
  </r>
  <r>
    <s v="E1021"/>
    <s v="Employee_21"/>
    <x v="4"/>
    <n v="18"/>
    <x v="16"/>
    <n v="105"/>
    <n v="115.47619047619047"/>
    <x v="5"/>
    <x v="1"/>
    <x v="0"/>
  </r>
  <r>
    <s v="E1086"/>
    <s v="Employee_86"/>
    <x v="2"/>
    <n v="22"/>
    <x v="16"/>
    <n v="121"/>
    <n v="67.889908256880744"/>
    <x v="7"/>
    <x v="2"/>
    <x v="1"/>
  </r>
  <r>
    <s v="E1044"/>
    <s v="Employee_44"/>
    <x v="2"/>
    <n v="22"/>
    <x v="37"/>
    <n v="118"/>
    <n v="113.51351351351352"/>
    <x v="7"/>
    <x v="1"/>
    <x v="1"/>
  </r>
  <r>
    <s v="E1071"/>
    <s v="Employee_71"/>
    <x v="1"/>
    <n v="15"/>
    <x v="20"/>
    <n v="65"/>
    <n v="103"/>
    <x v="2"/>
    <x v="1"/>
    <x v="0"/>
  </r>
  <r>
    <s v="E1075"/>
    <s v="Employee_75"/>
    <x v="3"/>
    <n v="19"/>
    <x v="10"/>
    <n v="118"/>
    <n v="124.48979591836735"/>
    <x v="1"/>
    <x v="1"/>
    <x v="0"/>
  </r>
  <r>
    <s v="E1070"/>
    <s v="Employee_70"/>
    <x v="3"/>
    <n v="15"/>
    <x v="3"/>
    <n v="100"/>
    <n v="95.283018867924525"/>
    <x v="2"/>
    <x v="3"/>
    <x v="0"/>
  </r>
  <r>
    <s v="E1042"/>
    <s v="Employee_42"/>
    <x v="0"/>
    <n v="18"/>
    <x v="15"/>
    <n v="85"/>
    <n v="92.222222222222229"/>
    <x v="5"/>
    <x v="3"/>
    <x v="0"/>
  </r>
  <r>
    <s v="E1011"/>
    <s v="Employee_11"/>
    <x v="3"/>
    <n v="19"/>
    <x v="19"/>
    <n v="80"/>
    <n v="65.517241379310349"/>
    <x v="1"/>
    <x v="2"/>
    <x v="0"/>
  </r>
  <r>
    <s v="E1073"/>
    <s v="Employee_73"/>
    <x v="2"/>
    <n v="19"/>
    <x v="26"/>
    <n v="85"/>
    <n v="93.827160493827151"/>
    <x v="1"/>
    <x v="3"/>
    <x v="0"/>
  </r>
  <r>
    <s v="E1035"/>
    <s v="Employee_35"/>
    <x v="2"/>
    <n v="20"/>
    <x v="4"/>
    <n v="67"/>
    <n v="120"/>
    <x v="6"/>
    <x v="1"/>
    <x v="2"/>
  </r>
  <r>
    <s v="E1097"/>
    <s v="Employee_97"/>
    <x v="3"/>
    <n v="19"/>
    <x v="33"/>
    <n v="125"/>
    <n v="143.67816091954023"/>
    <x v="1"/>
    <x v="1"/>
    <x v="0"/>
  </r>
  <r>
    <s v="E1092"/>
    <s v="Employee_92"/>
    <x v="2"/>
    <n v="22"/>
    <x v="8"/>
    <n v="90"/>
    <n v="88.495575221238937"/>
    <x v="7"/>
    <x v="0"/>
    <x v="1"/>
  </r>
  <r>
    <s v="E1004"/>
    <s v="Employee_4"/>
    <x v="1"/>
    <n v="20"/>
    <x v="24"/>
    <n v="126"/>
    <n v="73.91304347826086"/>
    <x v="6"/>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1086"/>
    <s v="Employee_86"/>
    <x v="0"/>
    <n v="22"/>
    <n v="84"/>
    <n v="121"/>
    <n v="67.889908256880744"/>
    <n v="100"/>
    <s v="Underperformer"/>
    <s v="Excellent"/>
  </r>
  <r>
    <s v="E1097"/>
    <s v="Employee_97"/>
    <x v="1"/>
    <n v="19"/>
    <n v="87"/>
    <n v="125"/>
    <n v="56.25"/>
    <n v="86.36363636363636"/>
    <s v="Underperformer"/>
    <s v="Poor"/>
  </r>
  <r>
    <s v="E1089"/>
    <s v="Employee_89"/>
    <x v="2"/>
    <n v="15"/>
    <n v="81"/>
    <n v="114"/>
    <n v="64.545454545454547"/>
    <n v="68.181818181818173"/>
    <s v="Underperformer"/>
    <s v="Poor"/>
  </r>
  <r>
    <s v="E1077"/>
    <s v="Employee_77"/>
    <x v="3"/>
    <n v="22"/>
    <n v="84"/>
    <n v="118"/>
    <n v="74.137931034482762"/>
    <n v="100"/>
    <s v="Underperformer"/>
    <s v="Excellent"/>
  </r>
  <r>
    <s v="E1083"/>
    <s v="Employee_83"/>
    <x v="3"/>
    <n v="20"/>
    <n v="96"/>
    <n v="129"/>
    <n v="68.888888888888886"/>
    <n v="90.909090909090907"/>
    <s v="Underperformer"/>
    <s v="Satisfactory"/>
  </r>
  <r>
    <s v="E1074"/>
    <s v="Employee_74"/>
    <x v="1"/>
    <n v="18"/>
    <n v="94"/>
    <n v="123"/>
    <n v="75.903614457831324"/>
    <n v="81.818181818181827"/>
    <s v="Underperformer"/>
    <s v="Poor"/>
  </r>
  <r>
    <s v="E1084"/>
    <s v="Employee_84"/>
    <x v="3"/>
    <n v="16"/>
    <n v="99"/>
    <n v="129"/>
    <n v="68.421052631578945"/>
    <n v="72.727272727272734"/>
    <s v="Underperformer"/>
    <s v="Poor"/>
  </r>
  <r>
    <s v="E1080"/>
    <s v="Employee_80"/>
    <x v="3"/>
    <n v="20"/>
    <n v="89"/>
    <n v="112"/>
    <n v="72.826086956521735"/>
    <n v="90.909090909090907"/>
    <s v="Underperformer"/>
    <s v="Satisfactory"/>
  </r>
  <r>
    <s v="E1076"/>
    <s v="Employee_76"/>
    <x v="1"/>
    <n v="18"/>
    <n v="96"/>
    <n v="115"/>
    <n v="75"/>
    <n v="81.818181818181827"/>
    <s v="Underperformer"/>
    <s v="Poor"/>
  </r>
  <r>
    <s v="E1078"/>
    <s v="Employee_78"/>
    <x v="0"/>
    <n v="19"/>
    <n v="108"/>
    <n v="129"/>
    <n v="73.91304347826086"/>
    <n v="86.36363636363636"/>
    <s v="Underperformer"/>
    <s v="Poor"/>
  </r>
  <r>
    <s v="E1079"/>
    <s v="Employee_79"/>
    <x v="1"/>
    <n v="19"/>
    <n v="83"/>
    <n v="92"/>
    <n v="73.275862068965495"/>
    <n v="86.36363636363636"/>
    <s v="Underperformer"/>
    <s v="Poor"/>
  </r>
  <r>
    <s v="E1075"/>
    <s v="Employee_75"/>
    <x v="1"/>
    <n v="19"/>
    <n v="109"/>
    <n v="118"/>
    <n v="75.609756097560975"/>
    <n v="86.36363636363636"/>
    <s v="Underperformer"/>
    <s v="Poor"/>
  </r>
  <r>
    <s v="E1087"/>
    <s v="Employee_87"/>
    <x v="2"/>
    <n v="19"/>
    <n v="113"/>
    <n v="121"/>
    <n v="65.765765765765778"/>
    <n v="86.36363636363636"/>
    <s v="Underperformer"/>
    <s v="Poor"/>
  </r>
  <r>
    <s v="E1093"/>
    <s v="Employee_93"/>
    <x v="4"/>
    <n v="20"/>
    <n v="95"/>
    <n v="99"/>
    <n v="61.06194690265486"/>
    <n v="90.909090909090907"/>
    <s v="Underperformer"/>
    <s v="Satisfactory"/>
  </r>
  <r>
    <s v="E1072"/>
    <s v="Employee_72"/>
    <x v="4"/>
    <n v="15"/>
    <n v="112"/>
    <n v="111"/>
    <n v="76.991150442477874"/>
    <n v="68.181818181818173"/>
    <s v="Underperformer"/>
    <s v="Poor"/>
  </r>
  <r>
    <s v="E1088"/>
    <s v="Employee_88"/>
    <x v="1"/>
    <n v="21"/>
    <n v="85"/>
    <n v="83"/>
    <n v="65.517241379310349"/>
    <n v="95.454545454545453"/>
    <s v="Underperformer"/>
    <s v="Excellent"/>
  </r>
  <r>
    <s v="E1095"/>
    <s v="Employee_95"/>
    <x v="3"/>
    <n v="17"/>
    <n v="90"/>
    <n v="83"/>
    <n v="57.009345794392516"/>
    <n v="77.272727272727266"/>
    <s v="Underperformer"/>
    <s v="Poor"/>
  </r>
  <r>
    <s v="E1082"/>
    <s v="Employee_82"/>
    <x v="2"/>
    <n v="19"/>
    <n v="89"/>
    <n v="80"/>
    <n v="71.186440677966104"/>
    <n v="86.36363636363636"/>
    <s v="Underperformer"/>
    <s v="Poor"/>
  </r>
  <r>
    <s v="E1070"/>
    <s v="Employee_70"/>
    <x v="1"/>
    <n v="15"/>
    <n v="113"/>
    <n v="100"/>
    <n v="79.487179487179489"/>
    <n v="68.181818181818173"/>
    <s v="Underperformer"/>
    <s v="Poor"/>
  </r>
  <r>
    <s v="E1092"/>
    <s v="Employee_92"/>
    <x v="0"/>
    <n v="22"/>
    <n v="102"/>
    <n v="90"/>
    <n v="61.165048543689316"/>
    <n v="100"/>
    <s v="Underperformer"/>
    <s v="Excellent"/>
  </r>
  <r>
    <s v="E1094"/>
    <s v="Employee_94"/>
    <x v="4"/>
    <n v="16"/>
    <n v="110"/>
    <n v="95"/>
    <n v="58.407079646017699"/>
    <n v="72.727272727272734"/>
    <s v="Underperformer"/>
    <s v="Poor"/>
  </r>
  <r>
    <s v="E1081"/>
    <s v="Employee_81"/>
    <x v="2"/>
    <n v="17"/>
    <n v="96"/>
    <n v="81"/>
    <n v="71.428571428571431"/>
    <n v="77.272727272727266"/>
    <s v="Underperformer"/>
    <s v="Poor"/>
  </r>
  <r>
    <s v="E1073"/>
    <s v="Employee_73"/>
    <x v="0"/>
    <n v="19"/>
    <n v="103"/>
    <n v="85"/>
    <n v="76.19047619047619"/>
    <n v="86.36363636363636"/>
    <s v="Underperformer"/>
    <s v="Poor"/>
  </r>
  <r>
    <s v="E1098"/>
    <s v="Employee_98"/>
    <x v="4"/>
    <n v="21"/>
    <n v="83"/>
    <n v="63"/>
    <n v="55.555555555555557"/>
    <n v="95.454545454545453"/>
    <s v="Underperformer"/>
    <s v="Excellent"/>
  </r>
  <r>
    <s v="E1090"/>
    <s v="Employee_90"/>
    <x v="1"/>
    <n v="16"/>
    <n v="92"/>
    <n v="68"/>
    <n v="62.5"/>
    <n v="72.727272727272734"/>
    <s v="Underperformer"/>
    <s v="Poor"/>
  </r>
  <r>
    <s v="E1091"/>
    <s v="Employee_91"/>
    <x v="1"/>
    <n v="16"/>
    <n v="90"/>
    <n v="62"/>
    <n v="61.467889908256879"/>
    <n v="72.727272727272734"/>
    <s v="Underperformer"/>
    <s v="Poor"/>
  </r>
  <r>
    <s v="E1096"/>
    <s v="Employee_96"/>
    <x v="0"/>
    <n v="19"/>
    <n v="95"/>
    <n v="65"/>
    <n v="56.637168141592923"/>
    <n v="86.36363636363636"/>
    <s v="Underperformer"/>
    <s v="Poor"/>
  </r>
  <r>
    <s v="E1085"/>
    <s v="Employee_85"/>
    <x v="0"/>
    <n v="17"/>
    <n v="103"/>
    <n v="63"/>
    <n v="68.141592920353972"/>
    <n v="77.272727272727266"/>
    <s v="Underperformer"/>
    <s v="Poor"/>
  </r>
  <r>
    <s v="E1071"/>
    <s v="Employee_71"/>
    <x v="4"/>
    <n v="15"/>
    <n v="117"/>
    <n v="65"/>
    <n v="77.272727272727266"/>
    <n v="68.181818181818173"/>
    <s v="Underperformer"/>
    <s v="Poor"/>
  </r>
  <r>
    <s v="E1099"/>
    <s v="Employee_99"/>
    <x v="1"/>
    <n v="22"/>
    <n v="119"/>
    <n v="65"/>
    <n v="54.621848739495796"/>
    <n v="100"/>
    <s v="Underperformer"/>
    <s v="Excellen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40.47619047619045"/>
    <s v="Marketing"/>
  </r>
  <r>
    <x v="1"/>
    <n v="143.75"/>
    <s v="Marketing"/>
  </r>
  <r>
    <x v="2"/>
    <n v="88.495575221238937"/>
    <s v="Sales"/>
  </r>
  <r>
    <x v="3"/>
    <n v="56.25"/>
    <s v="Finance"/>
  </r>
  <r>
    <x v="4"/>
    <n v="125"/>
    <s v="Sales"/>
  </r>
  <r>
    <x v="5"/>
    <n v="74.137931034482762"/>
    <s v="IT"/>
  </r>
  <r>
    <x v="6"/>
    <n v="99.107142857142861"/>
    <s v="Sales"/>
  </r>
  <r>
    <x v="7"/>
    <n v="92.222222222222229"/>
    <s v="HR"/>
  </r>
  <r>
    <x v="8"/>
    <n v="71.428571428571431"/>
    <s v="Finance"/>
  </r>
  <r>
    <x v="9"/>
    <n v="67.889908256880744"/>
    <s v="IT"/>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1000"/>
    <s v="Employee_0"/>
    <x v="0"/>
    <n v="15"/>
    <n v="112"/>
    <n v="63"/>
    <n v="56.25"/>
    <n v="68.181818181818173"/>
    <s v="Underperformer"/>
    <s v="Poor"/>
    <x v="0"/>
  </r>
  <r>
    <s v="E1001"/>
    <s v="Employee_1"/>
    <x v="1"/>
    <n v="15"/>
    <n v="80"/>
    <n v="115"/>
    <n v="143.75"/>
    <n v="68.181818181818173"/>
    <s v="Excellent"/>
    <s v="Poor"/>
    <x v="0"/>
  </r>
  <r>
    <s v="E1002"/>
    <s v="Employee_2"/>
    <x v="2"/>
    <n v="22"/>
    <n v="97"/>
    <n v="84"/>
    <n v="86.597938144329902"/>
    <n v="100"/>
    <s v="Needs Improvement"/>
    <s v="Excellent"/>
    <x v="1"/>
  </r>
  <r>
    <s v="E1003"/>
    <s v="Employee_3"/>
    <x v="3"/>
    <n v="15"/>
    <n v="111"/>
    <n v="126"/>
    <n v="113.51351351351352"/>
    <n v="68.181818181818173"/>
    <s v="Excellent"/>
    <s v="Poor"/>
    <x v="0"/>
  </r>
  <r>
    <s v="E1004"/>
    <s v="Employee_4"/>
    <x v="1"/>
    <n v="20"/>
    <n v="90"/>
    <n v="126"/>
    <n v="140"/>
    <n v="90.909090909090907"/>
    <s v="Excellent"/>
    <s v="Satisfactory"/>
    <x v="2"/>
  </r>
  <r>
    <s v="E1005"/>
    <s v="Employee_5"/>
    <x v="2"/>
    <n v="19"/>
    <n v="100"/>
    <n v="86"/>
    <n v="86"/>
    <n v="86.36363636363636"/>
    <s v="Needs Improvement"/>
    <s v="Poor"/>
    <x v="3"/>
  </r>
  <r>
    <s v="E1006"/>
    <s v="Employee_6"/>
    <x v="1"/>
    <n v="20"/>
    <n v="105"/>
    <n v="91"/>
    <n v="86.666666666666671"/>
    <n v="90.909090909090907"/>
    <s v="Needs Improvement"/>
    <s v="Satisfactory"/>
    <x v="2"/>
  </r>
  <r>
    <s v="E1007"/>
    <s v="Employee_7"/>
    <x v="4"/>
    <n v="16"/>
    <n v="104"/>
    <n v="109"/>
    <n v="104.80769230769231"/>
    <n v="72.727272727272734"/>
    <s v="Excellent"/>
    <s v="Poor"/>
    <x v="4"/>
  </r>
  <r>
    <s v="E1008"/>
    <s v="Employee_8"/>
    <x v="1"/>
    <n v="18"/>
    <n v="101"/>
    <n v="120"/>
    <n v="118.8118811881188"/>
    <n v="81.818181818181827"/>
    <s v="Excellent"/>
    <s v="Poor"/>
    <x v="5"/>
  </r>
  <r>
    <s v="E1009"/>
    <s v="Employee_9"/>
    <x v="1"/>
    <n v="19"/>
    <n v="106"/>
    <n v="110"/>
    <n v="103.77358490566037"/>
    <n v="86.36363636363636"/>
    <s v="Excellent"/>
    <s v="Poor"/>
    <x v="3"/>
  </r>
  <r>
    <s v="E1010"/>
    <s v="Employee_10"/>
    <x v="1"/>
    <n v="22"/>
    <n v="92"/>
    <n v="78"/>
    <n v="84.782608695652172"/>
    <n v="100"/>
    <s v="Needs Improvement"/>
    <s v="Excellent"/>
    <x v="1"/>
  </r>
  <r>
    <s v="E1011"/>
    <s v="Employee_11"/>
    <x v="3"/>
    <n v="19"/>
    <n v="112"/>
    <n v="80"/>
    <n v="71.428571428571431"/>
    <n v="86.36363636363636"/>
    <s v="Underperformer"/>
    <s v="Poor"/>
    <x v="3"/>
  </r>
  <r>
    <s v="E1012"/>
    <s v="Employee_12"/>
    <x v="1"/>
    <n v="19"/>
    <n v="113"/>
    <n v="64"/>
    <n v="56.637168141592923"/>
    <n v="86.36363636363636"/>
    <s v="Underperformer"/>
    <s v="Poor"/>
    <x v="3"/>
  </r>
  <r>
    <s v="E1013"/>
    <s v="Employee_13"/>
    <x v="2"/>
    <n v="21"/>
    <n v="114"/>
    <n v="101"/>
    <n v="88.596491228070178"/>
    <n v="95.454545454545453"/>
    <s v="Needs Improvement"/>
    <s v="Excellent"/>
    <x v="6"/>
  </r>
  <r>
    <s v="E1014"/>
    <s v="Employee_14"/>
    <x v="4"/>
    <n v="19"/>
    <n v="80"/>
    <n v="120"/>
    <n v="150"/>
    <n v="86.36363636363636"/>
    <s v="Excellent"/>
    <s v="Poor"/>
    <x v="3"/>
  </r>
  <r>
    <s v="E1015"/>
    <s v="Employee_15"/>
    <x v="4"/>
    <n v="22"/>
    <n v="100"/>
    <n v="81"/>
    <n v="81"/>
    <n v="100"/>
    <s v="Needs Improvement"/>
    <s v="Excellent"/>
    <x v="1"/>
  </r>
  <r>
    <s v="E1016"/>
    <s v="Employee_16"/>
    <x v="1"/>
    <n v="20"/>
    <n v="85"/>
    <n v="80"/>
    <n v="94.117647058823522"/>
    <n v="90.909090909090907"/>
    <s v="Good"/>
    <s v="Satisfactory"/>
    <x v="2"/>
  </r>
  <r>
    <s v="E1017"/>
    <s v="Employee_17"/>
    <x v="3"/>
    <n v="19"/>
    <n v="107"/>
    <n v="129"/>
    <n v="120.56074766355141"/>
    <n v="86.36363636363636"/>
    <s v="Excellent"/>
    <s v="Poor"/>
    <x v="3"/>
  </r>
  <r>
    <s v="E1018"/>
    <s v="Employee_18"/>
    <x v="3"/>
    <n v="17"/>
    <n v="96"/>
    <n v="60"/>
    <n v="62.5"/>
    <n v="77.272727272727266"/>
    <s v="Underperformer"/>
    <s v="Poor"/>
    <x v="7"/>
  </r>
  <r>
    <s v="E1019"/>
    <s v="Employee_19"/>
    <x v="2"/>
    <n v="18"/>
    <n v="84"/>
    <n v="64"/>
    <n v="76.19047619047619"/>
    <n v="81.818181818181827"/>
    <s v="Underperformer"/>
    <s v="Poor"/>
    <x v="5"/>
  </r>
  <r>
    <s v="E1020"/>
    <s v="Employee_20"/>
    <x v="1"/>
    <n v="19"/>
    <n v="110"/>
    <n v="71"/>
    <n v="64.545454545454547"/>
    <n v="86.36363636363636"/>
    <s v="Underperformer"/>
    <s v="Poor"/>
    <x v="3"/>
  </r>
  <r>
    <s v="E1021"/>
    <s v="Employee_21"/>
    <x v="4"/>
    <n v="18"/>
    <n v="84"/>
    <n v="105"/>
    <n v="125"/>
    <n v="81.818181818181827"/>
    <s v="Excellent"/>
    <s v="Poor"/>
    <x v="5"/>
  </r>
  <r>
    <s v="E1022"/>
    <s v="Employee_22"/>
    <x v="3"/>
    <n v="17"/>
    <n v="117"/>
    <n v="93"/>
    <n v="79.487179487179489"/>
    <n v="77.272727272727266"/>
    <s v="Underperformer"/>
    <s v="Poor"/>
    <x v="7"/>
  </r>
  <r>
    <s v="E1023"/>
    <s v="Employee_23"/>
    <x v="1"/>
    <n v="17"/>
    <n v="82"/>
    <n v="108"/>
    <n v="131.70731707317074"/>
    <n v="77.272727272727266"/>
    <s v="Excellent"/>
    <s v="Poor"/>
    <x v="7"/>
  </r>
  <r>
    <s v="E1024"/>
    <s v="Employee_24"/>
    <x v="3"/>
    <n v="18"/>
    <n v="102"/>
    <n v="104"/>
    <n v="101.96078431372548"/>
    <n v="81.818181818181827"/>
    <s v="Excellent"/>
    <s v="Poor"/>
    <x v="5"/>
  </r>
  <r>
    <s v="E1025"/>
    <s v="Employee_25"/>
    <x v="3"/>
    <n v="15"/>
    <n v="116"/>
    <n v="86"/>
    <n v="74.137931034482762"/>
    <n v="68.181818181818173"/>
    <s v="Underperformer"/>
    <s v="Poor"/>
    <x v="0"/>
  </r>
  <r>
    <s v="E1026"/>
    <s v="Employee_26"/>
    <x v="4"/>
    <n v="16"/>
    <n v="116"/>
    <n v="85"/>
    <n v="73.275862068965509"/>
    <n v="72.727272727272734"/>
    <s v="Underperformer"/>
    <s v="Poor"/>
    <x v="4"/>
  </r>
  <r>
    <s v="E1027"/>
    <s v="Employee_27"/>
    <x v="0"/>
    <n v="21"/>
    <n v="89"/>
    <n v="106"/>
    <n v="119.10112359550563"/>
    <n v="95.454545454545453"/>
    <s v="Excellent"/>
    <s v="Excellent"/>
    <x v="6"/>
  </r>
  <r>
    <s v="E1028"/>
    <s v="Employee_28"/>
    <x v="2"/>
    <n v="15"/>
    <n v="89"/>
    <n v="115"/>
    <n v="129.21348314606743"/>
    <n v="68.181818181818173"/>
    <s v="Excellent"/>
    <s v="Poor"/>
    <x v="0"/>
  </r>
  <r>
    <s v="E1029"/>
    <s v="Employee_29"/>
    <x v="2"/>
    <n v="15"/>
    <n v="98"/>
    <n v="122"/>
    <n v="124.48979591836735"/>
    <n v="68.181818181818173"/>
    <s v="Excellent"/>
    <s v="Poor"/>
    <x v="0"/>
  </r>
  <r>
    <s v="E1030"/>
    <s v="Employee_30"/>
    <x v="4"/>
    <n v="20"/>
    <n v="96"/>
    <n v="107"/>
    <n v="111.45833333333333"/>
    <n v="90.909090909090907"/>
    <s v="Excellent"/>
    <s v="Satisfactory"/>
    <x v="2"/>
  </r>
  <r>
    <s v="E1031"/>
    <s v="Employee_31"/>
    <x v="3"/>
    <n v="21"/>
    <n v="100"/>
    <n v="120"/>
    <n v="120"/>
    <n v="95.454545454545453"/>
    <s v="Excellent"/>
    <s v="Excellent"/>
    <x v="6"/>
  </r>
  <r>
    <s v="E1032"/>
    <s v="Employee_32"/>
    <x v="1"/>
    <n v="21"/>
    <n v="93"/>
    <n v="85"/>
    <n v="91.397849462365585"/>
    <n v="95.454545454545453"/>
    <s v="Good"/>
    <s v="Excellent"/>
    <x v="6"/>
  </r>
  <r>
    <s v="E1033"/>
    <s v="Employee_33"/>
    <x v="3"/>
    <n v="15"/>
    <n v="88"/>
    <n v="95"/>
    <n v="107.95454545454545"/>
    <n v="68.181818181818173"/>
    <s v="Excellent"/>
    <s v="Poor"/>
    <x v="0"/>
  </r>
  <r>
    <s v="E1034"/>
    <s v="Employee_34"/>
    <x v="4"/>
    <n v="19"/>
    <n v="80"/>
    <n v="60"/>
    <n v="75"/>
    <n v="86.36363636363636"/>
    <s v="Underperformer"/>
    <s v="Poor"/>
    <x v="3"/>
  </r>
  <r>
    <s v="E1035"/>
    <s v="Employee_35"/>
    <x v="2"/>
    <n v="20"/>
    <n v="92"/>
    <n v="67"/>
    <n v="72.826086956521735"/>
    <n v="90.909090909090907"/>
    <s v="Underperformer"/>
    <s v="Satisfactory"/>
    <x v="2"/>
  </r>
  <r>
    <s v="E1036"/>
    <s v="Employee_36"/>
    <x v="3"/>
    <n v="20"/>
    <n v="83"/>
    <n v="111"/>
    <n v="133.73493975903614"/>
    <n v="90.909090909090907"/>
    <s v="Excellent"/>
    <s v="Satisfactory"/>
    <x v="2"/>
  </r>
  <r>
    <s v="E1037"/>
    <s v="Employee_37"/>
    <x v="2"/>
    <n v="17"/>
    <n v="80"/>
    <n v="106"/>
    <n v="132.5"/>
    <n v="77.272727272727266"/>
    <s v="Excellent"/>
    <s v="Poor"/>
    <x v="7"/>
  </r>
  <r>
    <s v="E1038"/>
    <s v="Employee_38"/>
    <x v="1"/>
    <n v="22"/>
    <n v="119"/>
    <n v="115"/>
    <n v="96.638655462184872"/>
    <n v="100"/>
    <s v="Good"/>
    <s v="Excellent"/>
    <x v="1"/>
  </r>
  <r>
    <s v="E1039"/>
    <s v="Employee_39"/>
    <x v="2"/>
    <n v="21"/>
    <n v="111"/>
    <n v="73"/>
    <n v="65.765765765765778"/>
    <n v="95.454545454545453"/>
    <s v="Underperformer"/>
    <s v="Excellent"/>
    <x v="6"/>
  </r>
  <r>
    <s v="E1040"/>
    <s v="Employee_40"/>
    <x v="2"/>
    <n v="15"/>
    <n v="113"/>
    <n v="87"/>
    <n v="76.991150442477874"/>
    <n v="68.181818181818173"/>
    <s v="Underperformer"/>
    <s v="Poor"/>
    <x v="0"/>
  </r>
  <r>
    <s v="E1041"/>
    <s v="Employee_41"/>
    <x v="0"/>
    <n v="17"/>
    <n v="107"/>
    <n v="61"/>
    <n v="57.009345794392516"/>
    <n v="77.272727272727266"/>
    <s v="Underperformer"/>
    <s v="Poor"/>
    <x v="7"/>
  </r>
  <r>
    <s v="E1042"/>
    <s v="Employee_42"/>
    <x v="0"/>
    <n v="18"/>
    <n v="110"/>
    <n v="85"/>
    <n v="77.272727272727266"/>
    <n v="81.818181818181827"/>
    <s v="Underperformer"/>
    <s v="Poor"/>
    <x v="5"/>
  </r>
  <r>
    <s v="E1043"/>
    <s v="Employee_43"/>
    <x v="0"/>
    <n v="16"/>
    <n v="87"/>
    <n v="73"/>
    <n v="83.908045977011497"/>
    <n v="72.727272727272734"/>
    <s v="Needs Improvement"/>
    <s v="Poor"/>
    <x v="4"/>
  </r>
  <r>
    <s v="E1044"/>
    <s v="Employee_44"/>
    <x v="2"/>
    <n v="22"/>
    <n v="118"/>
    <n v="118"/>
    <n v="100"/>
    <n v="100"/>
    <s v="Excellent"/>
    <s v="Excellent"/>
    <x v="1"/>
  </r>
  <r>
    <s v="E1045"/>
    <s v="Employee_45"/>
    <x v="4"/>
    <n v="22"/>
    <n v="105"/>
    <n v="115"/>
    <n v="109.52380952380953"/>
    <n v="100"/>
    <s v="Excellent"/>
    <s v="Excellent"/>
    <x v="1"/>
  </r>
  <r>
    <s v="E1046"/>
    <s v="Employee_46"/>
    <x v="2"/>
    <n v="22"/>
    <n v="113"/>
    <n v="66"/>
    <n v="58.407079646017699"/>
    <n v="100"/>
    <s v="Underperformer"/>
    <s v="Excellent"/>
    <x v="1"/>
  </r>
  <r>
    <s v="E1047"/>
    <s v="Employee_47"/>
    <x v="4"/>
    <n v="20"/>
    <n v="82"/>
    <n v="62"/>
    <n v="75.609756097560975"/>
    <n v="90.909090909090907"/>
    <s v="Underperformer"/>
    <s v="Satisfactory"/>
    <x v="2"/>
  </r>
  <r>
    <s v="E1048"/>
    <s v="Employee_48"/>
    <x v="4"/>
    <n v="18"/>
    <n v="91"/>
    <n v="82"/>
    <n v="90.109890109890117"/>
    <n v="81.818181818181827"/>
    <s v="Good"/>
    <s v="Poor"/>
    <x v="5"/>
  </r>
  <r>
    <s v="E1049"/>
    <s v="Employee_49"/>
    <x v="0"/>
    <n v="22"/>
    <n v="80"/>
    <n v="77"/>
    <n v="96.25"/>
    <n v="100"/>
    <s v="Good"/>
    <s v="Excellent"/>
    <x v="1"/>
  </r>
  <r>
    <s v="E1050"/>
    <s v="Employee_50"/>
    <x v="3"/>
    <n v="18"/>
    <n v="84"/>
    <n v="97"/>
    <n v="115.47619047619047"/>
    <n v="81.818181818181827"/>
    <s v="Excellent"/>
    <s v="Poor"/>
    <x v="5"/>
  </r>
  <r>
    <s v="E1051"/>
    <s v="Employee_51"/>
    <x v="1"/>
    <n v="19"/>
    <n v="109"/>
    <n v="74"/>
    <n v="67.889908256880744"/>
    <n v="86.36363636363636"/>
    <s v="Underperformer"/>
    <s v="Poor"/>
    <x v="3"/>
  </r>
  <r>
    <s v="E1052"/>
    <s v="Employee_52"/>
    <x v="0"/>
    <n v="22"/>
    <n v="109"/>
    <n v="123"/>
    <n v="112.8440366972477"/>
    <n v="100"/>
    <s v="Excellent"/>
    <s v="Excellent"/>
    <x v="1"/>
  </r>
  <r>
    <s v="E1053"/>
    <s v="Employee_53"/>
    <x v="0"/>
    <n v="16"/>
    <n v="96"/>
    <n v="87"/>
    <n v="90.625"/>
    <n v="72.727272727272734"/>
    <s v="Good"/>
    <s v="Poor"/>
    <x v="4"/>
  </r>
  <r>
    <s v="E1054"/>
    <s v="Employee_54"/>
    <x v="3"/>
    <n v="18"/>
    <n v="102"/>
    <n v="98"/>
    <n v="96.078431372549019"/>
    <n v="81.818181818181827"/>
    <s v="Good"/>
    <s v="Poor"/>
    <x v="5"/>
  </r>
  <r>
    <s v="E1055"/>
    <s v="Employee_55"/>
    <x v="1"/>
    <n v="18"/>
    <n v="94"/>
    <n v="116"/>
    <n v="123.40425531914893"/>
    <n v="81.818181818181827"/>
    <s v="Excellent"/>
    <s v="Poor"/>
    <x v="5"/>
  </r>
  <r>
    <s v="E1056"/>
    <s v="Employee_56"/>
    <x v="2"/>
    <n v="16"/>
    <n v="116"/>
    <n v="76"/>
    <n v="65.517241379310349"/>
    <n v="72.727272727272734"/>
    <s v="Underperformer"/>
    <s v="Poor"/>
    <x v="4"/>
  </r>
  <r>
    <s v="E1057"/>
    <s v="Employee_57"/>
    <x v="2"/>
    <n v="22"/>
    <n v="100"/>
    <n v="103"/>
    <n v="103"/>
    <n v="100"/>
    <s v="Excellent"/>
    <s v="Excellent"/>
    <x v="1"/>
  </r>
  <r>
    <s v="E1058"/>
    <s v="Employee_58"/>
    <x v="0"/>
    <n v="16"/>
    <n v="93"/>
    <n v="84"/>
    <n v="90.322580645161281"/>
    <n v="72.727272727272734"/>
    <s v="Good"/>
    <s v="Poor"/>
    <x v="4"/>
  </r>
  <r>
    <s v="E1059"/>
    <s v="Employee_59"/>
    <x v="1"/>
    <n v="18"/>
    <n v="81"/>
    <n v="76"/>
    <n v="93.827160493827151"/>
    <n v="81.818181818181827"/>
    <s v="Good"/>
    <s v="Poor"/>
    <x v="5"/>
  </r>
  <r>
    <s v="E1060"/>
    <s v="Employee_60"/>
    <x v="0"/>
    <n v="16"/>
    <n v="90"/>
    <n v="72"/>
    <n v="80"/>
    <n v="72.727272727272734"/>
    <s v="Needs Improvement"/>
    <s v="Poor"/>
    <x v="4"/>
  </r>
  <r>
    <s v="E1061"/>
    <s v="Employee_61"/>
    <x v="4"/>
    <n v="18"/>
    <n v="118"/>
    <n v="84"/>
    <n v="71.186440677966104"/>
    <n v="81.818181818181827"/>
    <s v="Underperformer"/>
    <s v="Poor"/>
    <x v="5"/>
  </r>
  <r>
    <s v="E1062"/>
    <s v="Employee_62"/>
    <x v="0"/>
    <n v="18"/>
    <n v="117"/>
    <n v="127"/>
    <n v="108.54700854700855"/>
    <n v="81.818181818181827"/>
    <s v="Excellent"/>
    <s v="Poor"/>
    <x v="5"/>
  </r>
  <r>
    <s v="E1063"/>
    <s v="Employee_63"/>
    <x v="0"/>
    <n v="19"/>
    <n v="113"/>
    <n v="69"/>
    <n v="61.06194690265486"/>
    <n v="86.36363636363636"/>
    <s v="Underperformer"/>
    <s v="Poor"/>
    <x v="3"/>
  </r>
  <r>
    <s v="E1064"/>
    <s v="Employee_64"/>
    <x v="2"/>
    <n v="15"/>
    <n v="117"/>
    <n v="126"/>
    <n v="107.69230769230769"/>
    <n v="68.181818181818173"/>
    <s v="Excellent"/>
    <s v="Poor"/>
    <x v="0"/>
  </r>
  <r>
    <s v="E1065"/>
    <s v="Employee_65"/>
    <x v="2"/>
    <n v="18"/>
    <n v="113"/>
    <n v="77"/>
    <n v="68.141592920353972"/>
    <n v="81.818181818181827"/>
    <s v="Underperformer"/>
    <s v="Poor"/>
    <x v="5"/>
  </r>
  <r>
    <s v="E1066"/>
    <s v="Employee_66"/>
    <x v="2"/>
    <n v="22"/>
    <n v="97"/>
    <n v="93"/>
    <n v="95.876288659793815"/>
    <n v="100"/>
    <s v="Good"/>
    <s v="Excellent"/>
    <x v="1"/>
  </r>
  <r>
    <s v="E1067"/>
    <s v="Employee_67"/>
    <x v="4"/>
    <n v="17"/>
    <n v="109"/>
    <n v="67"/>
    <n v="61.467889908256879"/>
    <n v="77.272727272727266"/>
    <s v="Underperformer"/>
    <s v="Poor"/>
    <x v="7"/>
  </r>
  <r>
    <s v="E1068"/>
    <s v="Employee_68"/>
    <x v="2"/>
    <n v="20"/>
    <n v="94"/>
    <n v="99"/>
    <n v="105.31914893617021"/>
    <n v="90.909090909090907"/>
    <s v="Excellent"/>
    <s v="Satisfactory"/>
    <x v="2"/>
  </r>
  <r>
    <s v="E1069"/>
    <s v="Employee_69"/>
    <x v="1"/>
    <n v="21"/>
    <n v="106"/>
    <n v="101"/>
    <n v="95.283018867924525"/>
    <n v="95.454545454545453"/>
    <s v="Good"/>
    <s v="Excellent"/>
    <x v="6"/>
  </r>
  <r>
    <s v="E1070"/>
    <s v="Employee_70"/>
    <x v="3"/>
    <n v="15"/>
    <n v="113"/>
    <n v="100"/>
    <n v="88.495575221238937"/>
    <n v="68.181818181818173"/>
    <s v="Needs Improvement"/>
    <s v="Poor"/>
    <x v="0"/>
  </r>
  <r>
    <s v="E1071"/>
    <s v="Employee_71"/>
    <x v="1"/>
    <n v="15"/>
    <n v="117"/>
    <n v="65"/>
    <n v="55.555555555555557"/>
    <n v="68.181818181818173"/>
    <s v="Underperformer"/>
    <s v="Poor"/>
    <x v="0"/>
  </r>
  <r>
    <s v="E1072"/>
    <s v="Employee_72"/>
    <x v="1"/>
    <n v="15"/>
    <n v="112"/>
    <n v="111"/>
    <n v="99.107142857142861"/>
    <n v="68.181818181818173"/>
    <s v="Good"/>
    <s v="Poor"/>
    <x v="0"/>
  </r>
  <r>
    <s v="E1073"/>
    <s v="Employee_73"/>
    <x v="2"/>
    <n v="19"/>
    <n v="103"/>
    <n v="85"/>
    <n v="82.524271844660191"/>
    <n v="86.36363636363636"/>
    <s v="Needs Improvement"/>
    <s v="Poor"/>
    <x v="3"/>
  </r>
  <r>
    <s v="E1074"/>
    <s v="Employee_74"/>
    <x v="3"/>
    <n v="18"/>
    <n v="94"/>
    <n v="123"/>
    <n v="130.85106382978725"/>
    <n v="81.818181818181827"/>
    <s v="Excellent"/>
    <s v="Poor"/>
    <x v="5"/>
  </r>
  <r>
    <s v="E1075"/>
    <s v="Employee_75"/>
    <x v="3"/>
    <n v="19"/>
    <n v="109"/>
    <n v="118"/>
    <n v="108.25688073394495"/>
    <n v="86.36363636363636"/>
    <s v="Excellent"/>
    <s v="Poor"/>
    <x v="3"/>
  </r>
  <r>
    <s v="E1076"/>
    <s v="Employee_76"/>
    <x v="3"/>
    <n v="18"/>
    <n v="96"/>
    <n v="115"/>
    <n v="119.79166666666667"/>
    <n v="81.818181818181827"/>
    <s v="Excellent"/>
    <s v="Poor"/>
    <x v="5"/>
  </r>
  <r>
    <s v="E1077"/>
    <s v="Employee_77"/>
    <x v="4"/>
    <n v="22"/>
    <n v="84"/>
    <n v="118"/>
    <n v="140.47619047619045"/>
    <n v="100"/>
    <s v="Excellent"/>
    <s v="Excellent"/>
    <x v="1"/>
  </r>
  <r>
    <s v="E1078"/>
    <s v="Employee_78"/>
    <x v="2"/>
    <n v="19"/>
    <n v="108"/>
    <n v="129"/>
    <n v="119.44444444444444"/>
    <n v="86.36363636363636"/>
    <s v="Excellent"/>
    <s v="Poor"/>
    <x v="3"/>
  </r>
  <r>
    <s v="E1079"/>
    <s v="Employee_79"/>
    <x v="3"/>
    <n v="19"/>
    <n v="83"/>
    <n v="92"/>
    <n v="110.8433734939759"/>
    <n v="86.36363636363636"/>
    <s v="Excellent"/>
    <s v="Poor"/>
    <x v="3"/>
  </r>
  <r>
    <s v="E1080"/>
    <s v="Employee_80"/>
    <x v="4"/>
    <n v="20"/>
    <n v="89"/>
    <n v="112"/>
    <n v="125.84269662921348"/>
    <n v="90.909090909090907"/>
    <s v="Excellent"/>
    <s v="Satisfactory"/>
    <x v="2"/>
  </r>
  <r>
    <s v="E1081"/>
    <s v="Employee_81"/>
    <x v="0"/>
    <n v="17"/>
    <n v="96"/>
    <n v="81"/>
    <n v="84.375"/>
    <n v="77.272727272727266"/>
    <s v="Needs Improvement"/>
    <s v="Poor"/>
    <x v="7"/>
  </r>
  <r>
    <s v="E1082"/>
    <s v="Employee_82"/>
    <x v="0"/>
    <n v="19"/>
    <n v="89"/>
    <n v="80"/>
    <n v="89.887640449438194"/>
    <n v="86.36363636363636"/>
    <s v="Needs Improvement"/>
    <s v="Poor"/>
    <x v="3"/>
  </r>
  <r>
    <s v="E1083"/>
    <s v="Employee_83"/>
    <x v="4"/>
    <n v="20"/>
    <n v="96"/>
    <n v="129"/>
    <n v="134.375"/>
    <n v="90.909090909090907"/>
    <s v="Excellent"/>
    <s v="Satisfactory"/>
    <x v="2"/>
  </r>
  <r>
    <s v="E1084"/>
    <s v="Employee_84"/>
    <x v="4"/>
    <n v="16"/>
    <n v="99"/>
    <n v="129"/>
    <n v="130.30303030303031"/>
    <n v="72.727272727272734"/>
    <s v="Excellent"/>
    <s v="Poor"/>
    <x v="4"/>
  </r>
  <r>
    <s v="E1085"/>
    <s v="Employee_85"/>
    <x v="2"/>
    <n v="17"/>
    <n v="103"/>
    <n v="63"/>
    <n v="61.165048543689316"/>
    <n v="77.272727272727266"/>
    <s v="Underperformer"/>
    <s v="Poor"/>
    <x v="7"/>
  </r>
  <r>
    <s v="E1086"/>
    <s v="Employee_86"/>
    <x v="2"/>
    <n v="22"/>
    <n v="84"/>
    <n v="121"/>
    <n v="144.04761904761904"/>
    <n v="100"/>
    <s v="Excellent"/>
    <s v="Excellent"/>
    <x v="1"/>
  </r>
  <r>
    <s v="E1087"/>
    <s v="Employee_87"/>
    <x v="0"/>
    <n v="19"/>
    <n v="113"/>
    <n v="121"/>
    <n v="107.07964601769913"/>
    <n v="86.36363636363636"/>
    <s v="Excellent"/>
    <s v="Poor"/>
    <x v="3"/>
  </r>
  <r>
    <s v="E1088"/>
    <s v="Employee_88"/>
    <x v="3"/>
    <n v="21"/>
    <n v="85"/>
    <n v="83"/>
    <n v="97.647058823529406"/>
    <n v="95.454545454545453"/>
    <s v="Good"/>
    <s v="Excellent"/>
    <x v="6"/>
  </r>
  <r>
    <s v="E1089"/>
    <s v="Employee_89"/>
    <x v="0"/>
    <n v="15"/>
    <n v="81"/>
    <n v="114"/>
    <n v="140.74074074074073"/>
    <n v="68.181818181818173"/>
    <s v="Excellent"/>
    <s v="Poor"/>
    <x v="0"/>
  </r>
  <r>
    <s v="E1090"/>
    <s v="Employee_90"/>
    <x v="3"/>
    <n v="16"/>
    <n v="92"/>
    <n v="68"/>
    <n v="73.91304347826086"/>
    <n v="72.727272727272734"/>
    <s v="Underperformer"/>
    <s v="Poor"/>
    <x v="4"/>
  </r>
  <r>
    <s v="E1091"/>
    <s v="Employee_91"/>
    <x v="3"/>
    <n v="16"/>
    <n v="90"/>
    <n v="62"/>
    <n v="68.888888888888886"/>
    <n v="72.727272727272734"/>
    <s v="Underperformer"/>
    <s v="Poor"/>
    <x v="4"/>
  </r>
  <r>
    <s v="E1092"/>
    <s v="Employee_92"/>
    <x v="2"/>
    <n v="22"/>
    <n v="102"/>
    <n v="90"/>
    <n v="88.235294117647058"/>
    <n v="100"/>
    <s v="Needs Improvement"/>
    <s v="Excellent"/>
    <x v="1"/>
  </r>
  <r>
    <s v="E1093"/>
    <s v="Employee_93"/>
    <x v="1"/>
    <n v="20"/>
    <n v="95"/>
    <n v="99"/>
    <n v="104.21052631578947"/>
    <n v="90.909090909090907"/>
    <s v="Excellent"/>
    <s v="Satisfactory"/>
    <x v="2"/>
  </r>
  <r>
    <s v="E1094"/>
    <s v="Employee_94"/>
    <x v="1"/>
    <n v="16"/>
    <n v="110"/>
    <n v="95"/>
    <n v="86.36363636363636"/>
    <n v="72.727272727272734"/>
    <s v="Needs Improvement"/>
    <s v="Poor"/>
    <x v="4"/>
  </r>
  <r>
    <s v="E1095"/>
    <s v="Employee_95"/>
    <x v="4"/>
    <n v="17"/>
    <n v="90"/>
    <n v="83"/>
    <n v="92.222222222222229"/>
    <n v="77.272727272727266"/>
    <s v="Good"/>
    <s v="Poor"/>
    <x v="7"/>
  </r>
  <r>
    <s v="E1096"/>
    <s v="Employee_96"/>
    <x v="2"/>
    <n v="19"/>
    <n v="95"/>
    <n v="65"/>
    <n v="68.421052631578945"/>
    <n v="86.36363636363636"/>
    <s v="Underperformer"/>
    <s v="Poor"/>
    <x v="3"/>
  </r>
  <r>
    <s v="E1097"/>
    <s v="Employee_97"/>
    <x v="3"/>
    <n v="19"/>
    <n v="87"/>
    <n v="125"/>
    <n v="143.67816091954023"/>
    <n v="86.36363636363636"/>
    <s v="Excellent"/>
    <s v="Poor"/>
    <x v="3"/>
  </r>
  <r>
    <s v="E1098"/>
    <s v="Employee_98"/>
    <x v="1"/>
    <n v="21"/>
    <n v="83"/>
    <n v="63"/>
    <n v="75.903614457831324"/>
    <n v="95.454545454545453"/>
    <s v="Underperformer"/>
    <s v="Excellent"/>
    <x v="6"/>
  </r>
  <r>
    <s v="E1099"/>
    <s v="Employee_99"/>
    <x v="3"/>
    <n v="22"/>
    <n v="119"/>
    <n v="65"/>
    <n v="54.621848739495796"/>
    <n v="100"/>
    <s v="Underperformer"/>
    <s v="Excellent"/>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AD08F5-1671-427E-8551-4EB6706E20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erformance category">
  <location ref="A3:B4" firstHeaderRow="1" firstDataRow="1" firstDataCol="1"/>
  <pivotFields count="10">
    <pivotField dataField="1" showAll="0"/>
    <pivotField showAll="0"/>
    <pivotField showAll="0">
      <items count="6">
        <item h="1" x="3"/>
        <item h="1" x="1"/>
        <item h="1" x="4"/>
        <item x="2"/>
        <item h="1" x="0"/>
        <item t="default"/>
      </items>
    </pivotField>
    <pivotField showAll="0"/>
    <pivotField showAll="0"/>
    <pivotField showAll="0"/>
    <pivotField showAll="0"/>
    <pivotField showAll="0"/>
    <pivotField axis="axisRow" showAll="0">
      <items count="5">
        <item h="1" x="1"/>
        <item h="1" x="3"/>
        <item h="1" x="0"/>
        <item x="2"/>
        <item t="default"/>
      </items>
    </pivotField>
    <pivotField showAll="0">
      <items count="4">
        <item h="1" x="1"/>
        <item h="1" x="0"/>
        <item x="2"/>
        <item t="default"/>
      </items>
    </pivotField>
  </pivotFields>
  <rowFields count="1">
    <field x="8"/>
  </rowFields>
  <rowItems count="1">
    <i t="grand">
      <x/>
    </i>
  </rowItems>
  <colItems count="1">
    <i/>
  </colItems>
  <dataFields count="1">
    <dataField name="Count of Employee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8" count="1" selected="0">
            <x v="0"/>
          </reference>
        </references>
      </pivotArea>
    </chartFormat>
    <chartFormat chart="10" format="12">
      <pivotArea type="data" outline="0" fieldPosition="0">
        <references count="2">
          <reference field="4294967294" count="1" selected="0">
            <x v="0"/>
          </reference>
          <reference field="8" count="1" selected="0">
            <x v="1"/>
          </reference>
        </references>
      </pivotArea>
    </chartFormat>
    <chartFormat chart="10" format="13">
      <pivotArea type="data" outline="0" fieldPosition="0">
        <references count="2">
          <reference field="4294967294" count="1" selected="0">
            <x v="0"/>
          </reference>
          <reference field="8" count="1" selected="0">
            <x v="2"/>
          </reference>
        </references>
      </pivotArea>
    </chartFormat>
    <chartFormat chart="10" format="14">
      <pivotArea type="data" outline="0" fieldPosition="0">
        <references count="2">
          <reference field="4294967294" count="1" selected="0">
            <x v="0"/>
          </reference>
          <reference field="8" count="1" selected="0">
            <x v="3"/>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916A58-7A92-4C79-BC2B-3788FE69E11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partment">
  <location ref="A3:C9" firstHeaderRow="0" firstDataRow="1" firstDataCol="1"/>
  <pivotFields count="11">
    <pivotField showAll="0"/>
    <pivotField showAll="0"/>
    <pivotField axis="axisRow" showAll="0">
      <items count="6">
        <item x="3"/>
        <item x="1"/>
        <item x="4"/>
        <item x="2"/>
        <item x="0"/>
        <item t="default"/>
      </items>
    </pivotField>
    <pivotField showAll="0"/>
    <pivotField showAll="0"/>
    <pivotField showAll="0"/>
    <pivotField showAll="0"/>
    <pivotField showAll="0"/>
    <pivotField showAll="0"/>
    <pivotField showAll="0"/>
    <pivotField dataField="1" showAll="0">
      <items count="9">
        <item x="1"/>
        <item x="6"/>
        <item x="2"/>
        <item x="3"/>
        <item x="5"/>
        <item x="7"/>
        <item x="4"/>
        <item x="0"/>
        <item t="default"/>
      </items>
    </pivotField>
  </pivotFields>
  <rowFields count="1">
    <field x="2"/>
  </rowFields>
  <rowItems count="6">
    <i>
      <x/>
    </i>
    <i>
      <x v="1"/>
    </i>
    <i>
      <x v="2"/>
    </i>
    <i>
      <x v="3"/>
    </i>
    <i>
      <x v="4"/>
    </i>
    <i t="grand">
      <x/>
    </i>
  </rowItems>
  <colFields count="1">
    <field x="-2"/>
  </colFields>
  <colItems count="2">
    <i>
      <x/>
    </i>
    <i i="1">
      <x v="1"/>
    </i>
  </colItems>
  <dataFields count="2">
    <dataField name="Count of Absenteesm_days" fld="10" subtotal="count" baseField="10" baseItem="0"/>
    <dataField name="Sum of Absenteesm_days"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623652-1E86-48A6-9369-855250F106D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nployee Name">
  <location ref="A16:B27" firstHeaderRow="1" firstDataRow="1" firstDataCol="1"/>
  <pivotFields count="3">
    <pivotField axis="axisRow" showAll="0">
      <items count="11">
        <item x="8"/>
        <item x="6"/>
        <item x="0"/>
        <item x="7"/>
        <item x="2"/>
        <item x="9"/>
        <item x="5"/>
        <item x="1"/>
        <item x="4"/>
        <item x="3"/>
        <item t="default"/>
      </items>
    </pivotField>
    <pivotField dataField="1" showAll="0"/>
    <pivotField showAll="0"/>
  </pivotFields>
  <rowFields count="1">
    <field x="0"/>
  </rowFields>
  <rowItems count="11">
    <i>
      <x/>
    </i>
    <i>
      <x v="1"/>
    </i>
    <i>
      <x v="2"/>
    </i>
    <i>
      <x v="3"/>
    </i>
    <i>
      <x v="4"/>
    </i>
    <i>
      <x v="5"/>
    </i>
    <i>
      <x v="6"/>
    </i>
    <i>
      <x v="7"/>
    </i>
    <i>
      <x v="8"/>
    </i>
    <i>
      <x v="9"/>
    </i>
    <i t="grand">
      <x/>
    </i>
  </rowItems>
  <colItems count="1">
    <i/>
  </colItems>
  <dataFields count="1">
    <dataField name="Sum of Performance Achivement %"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BAE384-8E61-47AD-BD1E-461A3F91B5C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A34:B40" firstHeaderRow="1" firstDataRow="1" firstDataCol="1"/>
  <pivotFields count="10">
    <pivotField dataField="1" showAll="0"/>
    <pivotField showAll="0"/>
    <pivotField axis="axisRow" showAll="0">
      <items count="6">
        <item x="1"/>
        <item x="4"/>
        <item x="3"/>
        <item x="0"/>
        <item x="2"/>
        <item t="default"/>
      </items>
    </pivotField>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Employee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AF5DF0-9FA2-4446-B958-D5F28781E2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A1:C2" firstHeaderRow="0" firstDataRow="1" firstDataCol="1"/>
  <pivotFields count="10">
    <pivotField showAll="0"/>
    <pivotField showAll="0"/>
    <pivotField axis="axisRow" showAll="0">
      <items count="6">
        <item h="1" x="3"/>
        <item h="1" x="1"/>
        <item h="1" x="4"/>
        <item x="2"/>
        <item h="1" x="0"/>
        <item t="default"/>
      </items>
    </pivotField>
    <pivotField showAll="0"/>
    <pivotField dataField="1" showAll="0"/>
    <pivotField dataField="1" showAll="0"/>
    <pivotField showAll="0"/>
    <pivotField showAll="0"/>
    <pivotField showAll="0">
      <items count="5">
        <item h="1" x="1"/>
        <item h="1" x="3"/>
        <item h="1" x="0"/>
        <item x="2"/>
        <item t="default"/>
      </items>
    </pivotField>
    <pivotField showAll="0">
      <items count="4">
        <item h="1" x="1"/>
        <item h="1" x="0"/>
        <item x="2"/>
        <item t="default"/>
      </items>
    </pivotField>
  </pivotFields>
  <rowFields count="1">
    <field x="2"/>
  </rowFields>
  <rowItems count="1">
    <i t="grand">
      <x/>
    </i>
  </rowItems>
  <colFields count="1">
    <field x="-2"/>
  </colFields>
  <colItems count="2">
    <i>
      <x/>
    </i>
    <i i="1">
      <x v="1"/>
    </i>
  </colItems>
  <dataFields count="2">
    <dataField name="Average of Monthly Target" fld="4" subtotal="average" baseField="2" baseItem="0"/>
    <dataField name="Average of Actual Performance" fld="5" subtotal="average"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A11C10-E196-4AFE-867F-08929F4A5DE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nployee Name">
  <location ref="V11:W22" firstHeaderRow="1" firstDataRow="1" firstDataCol="1"/>
  <pivotFields count="3">
    <pivotField axis="axisRow" showAll="0">
      <items count="11">
        <item x="8"/>
        <item x="6"/>
        <item x="0"/>
        <item x="7"/>
        <item x="2"/>
        <item x="9"/>
        <item x="5"/>
        <item x="1"/>
        <item x="4"/>
        <item x="3"/>
        <item t="default"/>
      </items>
    </pivotField>
    <pivotField dataField="1" showAll="0"/>
    <pivotField showAll="0"/>
  </pivotFields>
  <rowFields count="1">
    <field x="0"/>
  </rowFields>
  <rowItems count="11">
    <i>
      <x/>
    </i>
    <i>
      <x v="1"/>
    </i>
    <i>
      <x v="2"/>
    </i>
    <i>
      <x v="3"/>
    </i>
    <i>
      <x v="4"/>
    </i>
    <i>
      <x v="5"/>
    </i>
    <i>
      <x v="6"/>
    </i>
    <i>
      <x v="7"/>
    </i>
    <i>
      <x v="8"/>
    </i>
    <i>
      <x v="9"/>
    </i>
    <i t="grand">
      <x/>
    </i>
  </rowItems>
  <colItems count="1">
    <i/>
  </colItems>
  <dataFields count="1">
    <dataField name="Sum of Performance Achivement %"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856CDA-ACB4-42BD-9D93-29E0B1FC87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3:C4" firstHeaderRow="0" firstDataRow="1" firstDataCol="1" rowPageCount="1" colPageCount="1"/>
  <pivotFields count="10">
    <pivotField showAll="0"/>
    <pivotField showAll="0"/>
    <pivotField axis="axisRow" showAll="0">
      <items count="6">
        <item n="Finance" h="1" x="3"/>
        <item h="1" x="1"/>
        <item h="1" x="4"/>
        <item x="2"/>
        <item h="1" x="0"/>
        <item t="default"/>
      </items>
    </pivotField>
    <pivotField showAll="0"/>
    <pivotField showAll="0"/>
    <pivotField showAll="0"/>
    <pivotField showAll="0"/>
    <pivotField dataField="1" showAll="0"/>
    <pivotField showAll="0">
      <items count="5">
        <item h="1" x="1"/>
        <item h="1" x="3"/>
        <item h="1" x="0"/>
        <item x="2"/>
        <item t="default"/>
      </items>
    </pivotField>
    <pivotField axis="axisPage" dataField="1" multipleItemSelectionAllowed="1" showAll="0">
      <items count="4">
        <item h="1" x="1"/>
        <item h="1" x="0"/>
        <item x="2"/>
        <item t="default"/>
      </items>
    </pivotField>
  </pivotFields>
  <rowFields count="1">
    <field x="2"/>
  </rowFields>
  <rowItems count="1">
    <i t="grand">
      <x/>
    </i>
  </rowItems>
  <colFields count="1">
    <field x="-2"/>
  </colFields>
  <colItems count="2">
    <i>
      <x/>
    </i>
    <i i="1">
      <x v="1"/>
    </i>
  </colItems>
  <pageFields count="1">
    <pageField fld="9" hier="-1"/>
  </pageFields>
  <dataFields count="2">
    <dataField name="Average of Attendance Rate" fld="7" subtotal="average" baseField="2" baseItem="0"/>
    <dataField name="Count of Attendance Category" fld="9"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82F84C4-6BB6-467D-BE8E-B17E159FC795}" sourceName="Department">
  <pivotTables>
    <pivotTable tabId="3" name="PivotTable1"/>
    <pivotTable tabId="4" name="PivotTable2"/>
    <pivotTable tabId="5" name="PivotTable3"/>
  </pivotTables>
  <data>
    <tabular pivotCacheId="1635211364">
      <items count="5">
        <i x="1"/>
        <i x="3" nd="1"/>
        <i x="4" nd="1"/>
        <i x="2" s="1"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Category" xr10:uid="{FC290390-696C-45A2-95EA-7FD891752719}" sourceName="Attendance Category">
  <pivotTables>
    <pivotTable tabId="4" name="PivotTable2"/>
    <pivotTable tabId="3" name="PivotTable1"/>
    <pivotTable tabId="5" name="PivotTable3"/>
  </pivotTables>
  <data>
    <tabular pivotCacheId="1635211364">
      <items count="3">
        <i x="1"/>
        <i x="0"/>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A736505B-B327-41DC-B1FA-3026A3798F77}" sourceName="Performance Category">
  <pivotTables>
    <pivotTable tabId="3" name="PivotTable1"/>
    <pivotTable tabId="4" name="PivotTable2"/>
    <pivotTable tabId="5" name="PivotTable3"/>
  </pivotTables>
  <data>
    <tabular pivotCacheId="1635211364">
      <items count="4">
        <i x="1"/>
        <i x="0"/>
        <i x="3"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5955B49-281C-4D2F-9803-0B19F4DAFE16}" cache="Slicer_Department" caption="Department" rowHeight="234950"/>
  <slicer name="Performance Category" xr10:uid="{E2613412-C2BC-4EB3-8F4B-AEC6633D9C23}" cache="Slicer_Performance_Category" caption="Performance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E73A66A-3086-40BE-AF0D-9BFC7CB397D1}" cache="Slicer_Department" caption="Department" rowHeight="234950"/>
  <slicer name="Attendance Category 1" xr10:uid="{F58264F5-BCB8-4BDE-B487-1A4601FD4FD1}" cache="Slicer_Attendance_Category" caption="Attendance Category" rowHeight="234950"/>
  <slicer name="Performance Category 1" xr10:uid="{B4D3C044-894A-4FA8-8C4A-E65EB061FD8E}" cache="Slicer_Performance_Category" caption="Performance 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endance Category" xr10:uid="{1296B5EA-355E-42E0-9D28-F3D8301736E3}" cache="Slicer_Attendance_Category" caption="Attendance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bin"/><Relationship Id="rId1" Type="http://schemas.openxmlformats.org/officeDocument/2006/relationships/pivotTable" Target="../pivotTables/pivotTable7.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17C0D-8A0B-4295-A4F2-DEDD732CA1C1}">
  <dimension ref="A1:J160"/>
  <sheetViews>
    <sheetView topLeftCell="A88" workbookViewId="0">
      <selection activeCell="G135" sqref="G135"/>
    </sheetView>
  </sheetViews>
  <sheetFormatPr defaultRowHeight="14.4" x14ac:dyDescent="0.3"/>
  <sheetData>
    <row r="1" spans="1:10" ht="18" thickBot="1" x14ac:dyDescent="0.35">
      <c r="A1" s="1" t="s">
        <v>0</v>
      </c>
      <c r="B1" s="2"/>
      <c r="C1" s="2"/>
      <c r="D1" s="2"/>
      <c r="E1" s="2"/>
      <c r="F1" s="2"/>
      <c r="G1" s="2"/>
      <c r="H1" s="2"/>
      <c r="I1" s="2"/>
      <c r="J1" s="2"/>
    </row>
    <row r="2" spans="1:10" ht="15" thickBot="1" x14ac:dyDescent="0.35">
      <c r="A2" s="2"/>
      <c r="B2" s="2"/>
      <c r="C2" s="2"/>
      <c r="D2" s="2"/>
      <c r="E2" s="2"/>
      <c r="F2" s="2"/>
      <c r="G2" s="2"/>
      <c r="H2" s="2"/>
      <c r="I2" s="2"/>
      <c r="J2" s="2"/>
    </row>
    <row r="3" spans="1:10" ht="15" thickBot="1" x14ac:dyDescent="0.35">
      <c r="A3" s="3" t="s">
        <v>1</v>
      </c>
      <c r="B3" s="2"/>
      <c r="C3" s="2"/>
      <c r="D3" s="2"/>
      <c r="E3" s="2"/>
      <c r="F3" s="2"/>
      <c r="G3" s="2"/>
      <c r="H3" s="2"/>
      <c r="I3" s="2"/>
      <c r="J3" s="2"/>
    </row>
    <row r="4" spans="1:10" ht="15" thickBot="1" x14ac:dyDescent="0.35">
      <c r="A4" s="4"/>
      <c r="B4" s="2"/>
      <c r="C4" s="2"/>
      <c r="D4" s="2"/>
      <c r="E4" s="2"/>
      <c r="F4" s="2"/>
      <c r="G4" s="2"/>
      <c r="H4" s="2"/>
      <c r="I4" s="2"/>
      <c r="J4" s="2"/>
    </row>
    <row r="5" spans="1:10" ht="15" thickBot="1" x14ac:dyDescent="0.35">
      <c r="A5" s="3" t="s">
        <v>2</v>
      </c>
      <c r="B5" s="2"/>
      <c r="C5" s="2"/>
      <c r="D5" s="2"/>
      <c r="E5" s="2"/>
      <c r="F5" s="2"/>
      <c r="G5" s="2"/>
      <c r="H5" s="2"/>
      <c r="I5" s="2"/>
      <c r="J5" s="2"/>
    </row>
    <row r="6" spans="1:10" ht="15" thickBot="1" x14ac:dyDescent="0.35">
      <c r="A6" s="4"/>
      <c r="B6" s="2"/>
      <c r="C6" s="2"/>
      <c r="D6" s="2"/>
      <c r="E6" s="2"/>
      <c r="F6" s="2"/>
      <c r="G6" s="2"/>
      <c r="H6" s="2"/>
      <c r="I6" s="2"/>
      <c r="J6" s="2"/>
    </row>
    <row r="7" spans="1:10" ht="15" thickBot="1" x14ac:dyDescent="0.35">
      <c r="A7" s="5" t="s">
        <v>3</v>
      </c>
      <c r="B7" s="2"/>
      <c r="C7" s="2"/>
      <c r="D7" s="2"/>
      <c r="E7" s="2"/>
      <c r="F7" s="2"/>
      <c r="G7" s="2"/>
      <c r="H7" s="2"/>
      <c r="I7" s="2"/>
      <c r="J7" s="2"/>
    </row>
    <row r="8" spans="1:10" ht="15" thickBot="1" x14ac:dyDescent="0.35">
      <c r="A8" s="4"/>
      <c r="B8" s="2"/>
      <c r="C8" s="2"/>
      <c r="D8" s="2"/>
      <c r="E8" s="2"/>
      <c r="F8" s="2"/>
      <c r="G8" s="2"/>
      <c r="H8" s="2"/>
      <c r="I8" s="2"/>
      <c r="J8" s="2"/>
    </row>
    <row r="10" spans="1:10" x14ac:dyDescent="0.3">
      <c r="A10" s="6" t="s">
        <v>4</v>
      </c>
    </row>
    <row r="11" spans="1:10" x14ac:dyDescent="0.3">
      <c r="A11" s="7" t="s">
        <v>5</v>
      </c>
    </row>
    <row r="12" spans="1:10" x14ac:dyDescent="0.3">
      <c r="A12" s="6" t="s">
        <v>6</v>
      </c>
    </row>
    <row r="14" spans="1:10" x14ac:dyDescent="0.3">
      <c r="A14" s="7" t="s">
        <v>7</v>
      </c>
    </row>
    <row r="16" spans="1:10" x14ac:dyDescent="0.3">
      <c r="A16" s="7" t="s">
        <v>8</v>
      </c>
    </row>
    <row r="18" spans="1:1" x14ac:dyDescent="0.3">
      <c r="A18" s="7" t="s">
        <v>9</v>
      </c>
    </row>
    <row r="20" spans="1:1" x14ac:dyDescent="0.3">
      <c r="A20" s="7" t="s">
        <v>10</v>
      </c>
    </row>
    <row r="22" spans="1:1" x14ac:dyDescent="0.3">
      <c r="A22" s="7" t="s">
        <v>11</v>
      </c>
    </row>
    <row r="24" spans="1:1" x14ac:dyDescent="0.3">
      <c r="A24" s="7" t="s">
        <v>12</v>
      </c>
    </row>
    <row r="25" spans="1:1" x14ac:dyDescent="0.3">
      <c r="A25" s="6" t="s">
        <v>13</v>
      </c>
    </row>
    <row r="27" spans="1:1" x14ac:dyDescent="0.3">
      <c r="A27" s="7" t="s">
        <v>14</v>
      </c>
    </row>
    <row r="29" spans="1:1" x14ac:dyDescent="0.3">
      <c r="A29" s="7" t="s">
        <v>15</v>
      </c>
    </row>
    <row r="31" spans="1:1" x14ac:dyDescent="0.3">
      <c r="A31" s="7" t="s">
        <v>16</v>
      </c>
    </row>
    <row r="33" spans="1:1" x14ac:dyDescent="0.3">
      <c r="A33" s="7" t="s">
        <v>17</v>
      </c>
    </row>
    <row r="35" spans="1:1" x14ac:dyDescent="0.3">
      <c r="A35" s="7" t="s">
        <v>18</v>
      </c>
    </row>
    <row r="36" spans="1:1" x14ac:dyDescent="0.3">
      <c r="A36" s="6" t="s">
        <v>19</v>
      </c>
    </row>
    <row r="38" spans="1:1" x14ac:dyDescent="0.3">
      <c r="A38" s="7" t="s">
        <v>20</v>
      </c>
    </row>
    <row r="40" spans="1:1" x14ac:dyDescent="0.3">
      <c r="A40" s="7" t="s">
        <v>21</v>
      </c>
    </row>
    <row r="42" spans="1:1" x14ac:dyDescent="0.3">
      <c r="A42" s="7" t="s">
        <v>22</v>
      </c>
    </row>
    <row r="44" spans="1:1" x14ac:dyDescent="0.3">
      <c r="A44" s="7" t="s">
        <v>23</v>
      </c>
    </row>
    <row r="46" spans="1:1" x14ac:dyDescent="0.3">
      <c r="A46" s="7" t="s">
        <v>24</v>
      </c>
    </row>
    <row r="47" spans="1:1" x14ac:dyDescent="0.3">
      <c r="A47" s="6" t="s">
        <v>25</v>
      </c>
    </row>
    <row r="49" spans="1:1" x14ac:dyDescent="0.3">
      <c r="A49" s="7" t="s">
        <v>26</v>
      </c>
    </row>
    <row r="51" spans="1:1" x14ac:dyDescent="0.3">
      <c r="A51" s="7" t="s">
        <v>27</v>
      </c>
    </row>
    <row r="53" spans="1:1" x14ac:dyDescent="0.3">
      <c r="A53" s="7" t="s">
        <v>28</v>
      </c>
    </row>
    <row r="55" spans="1:1" x14ac:dyDescent="0.3">
      <c r="A55" s="7" t="s">
        <v>29</v>
      </c>
    </row>
    <row r="57" spans="1:1" x14ac:dyDescent="0.3">
      <c r="A57" s="7" t="s">
        <v>30</v>
      </c>
    </row>
    <row r="59" spans="1:1" x14ac:dyDescent="0.3">
      <c r="A59" s="7" t="s">
        <v>31</v>
      </c>
    </row>
    <row r="61" spans="1:1" x14ac:dyDescent="0.3">
      <c r="A61" s="7" t="s">
        <v>32</v>
      </c>
    </row>
    <row r="63" spans="1:1" x14ac:dyDescent="0.3">
      <c r="A63" s="7" t="s">
        <v>33</v>
      </c>
    </row>
    <row r="65" spans="1:1" x14ac:dyDescent="0.3">
      <c r="A65" s="7" t="s">
        <v>34</v>
      </c>
    </row>
    <row r="67" spans="1:1" x14ac:dyDescent="0.3">
      <c r="A67" s="7" t="s">
        <v>35</v>
      </c>
    </row>
    <row r="68" spans="1:1" x14ac:dyDescent="0.3">
      <c r="A68" s="6" t="s">
        <v>36</v>
      </c>
    </row>
    <row r="70" spans="1:1" x14ac:dyDescent="0.3">
      <c r="A70" s="7" t="s">
        <v>37</v>
      </c>
    </row>
    <row r="72" spans="1:1" x14ac:dyDescent="0.3">
      <c r="A72" s="7" t="s">
        <v>38</v>
      </c>
    </row>
    <row r="74" spans="1:1" x14ac:dyDescent="0.3">
      <c r="A74" s="7" t="s">
        <v>39</v>
      </c>
    </row>
    <row r="76" spans="1:1" x14ac:dyDescent="0.3">
      <c r="A76" s="7" t="s">
        <v>40</v>
      </c>
    </row>
    <row r="78" spans="1:1" x14ac:dyDescent="0.3">
      <c r="A78" s="7" t="s">
        <v>41</v>
      </c>
    </row>
    <row r="79" spans="1:1" x14ac:dyDescent="0.3">
      <c r="A79" s="6" t="s">
        <v>42</v>
      </c>
    </row>
    <row r="81" spans="1:1" x14ac:dyDescent="0.3">
      <c r="A81" s="7" t="s">
        <v>43</v>
      </c>
    </row>
    <row r="83" spans="1:1" x14ac:dyDescent="0.3">
      <c r="A83" s="7" t="s">
        <v>44</v>
      </c>
    </row>
    <row r="85" spans="1:1" x14ac:dyDescent="0.3">
      <c r="A85" s="7" t="s">
        <v>45</v>
      </c>
    </row>
    <row r="87" spans="1:1" x14ac:dyDescent="0.3">
      <c r="A87" s="7" t="s">
        <v>46</v>
      </c>
    </row>
    <row r="89" spans="1:1" x14ac:dyDescent="0.3">
      <c r="A89" s="7" t="s">
        <v>47</v>
      </c>
    </row>
    <row r="90" spans="1:1" x14ac:dyDescent="0.3">
      <c r="A90" s="6" t="s">
        <v>48</v>
      </c>
    </row>
    <row r="92" spans="1:1" x14ac:dyDescent="0.3">
      <c r="A92" s="7" t="s">
        <v>49</v>
      </c>
    </row>
    <row r="94" spans="1:1" x14ac:dyDescent="0.3">
      <c r="A94" s="7" t="s">
        <v>50</v>
      </c>
    </row>
    <row r="96" spans="1:1" x14ac:dyDescent="0.3">
      <c r="A96" s="7" t="s">
        <v>51</v>
      </c>
    </row>
    <row r="98" spans="1:1" x14ac:dyDescent="0.3">
      <c r="A98" s="7" t="s">
        <v>52</v>
      </c>
    </row>
    <row r="100" spans="1:1" x14ac:dyDescent="0.3">
      <c r="A100" s="7" t="s">
        <v>53</v>
      </c>
    </row>
    <row r="101" spans="1:1" x14ac:dyDescent="0.3">
      <c r="A101" s="6" t="s">
        <v>54</v>
      </c>
    </row>
    <row r="103" spans="1:1" x14ac:dyDescent="0.3">
      <c r="A103" s="7" t="s">
        <v>55</v>
      </c>
    </row>
    <row r="105" spans="1:1" x14ac:dyDescent="0.3">
      <c r="A105" s="7" t="s">
        <v>56</v>
      </c>
    </row>
    <row r="107" spans="1:1" x14ac:dyDescent="0.3">
      <c r="A107" s="7" t="s">
        <v>57</v>
      </c>
    </row>
    <row r="109" spans="1:1" x14ac:dyDescent="0.3">
      <c r="A109" s="7" t="s">
        <v>58</v>
      </c>
    </row>
    <row r="111" spans="1:1" x14ac:dyDescent="0.3">
      <c r="A111" s="7" t="s">
        <v>59</v>
      </c>
    </row>
    <row r="112" spans="1:1" x14ac:dyDescent="0.3">
      <c r="A112" s="6" t="s">
        <v>60</v>
      </c>
    </row>
    <row r="114" spans="1:1" x14ac:dyDescent="0.3">
      <c r="A114" s="7" t="s">
        <v>61</v>
      </c>
    </row>
    <row r="116" spans="1:1" x14ac:dyDescent="0.3">
      <c r="A116" s="7" t="s">
        <v>62</v>
      </c>
    </row>
    <row r="118" spans="1:1" x14ac:dyDescent="0.3">
      <c r="A118" s="7" t="s">
        <v>63</v>
      </c>
    </row>
    <row r="120" spans="1:1" x14ac:dyDescent="0.3">
      <c r="A120" s="7" t="s">
        <v>64</v>
      </c>
    </row>
    <row r="122" spans="1:1" x14ac:dyDescent="0.3">
      <c r="A122" s="7" t="s">
        <v>65</v>
      </c>
    </row>
    <row r="123" spans="1:1" x14ac:dyDescent="0.3">
      <c r="A123" s="6" t="s">
        <v>66</v>
      </c>
    </row>
    <row r="125" spans="1:1" x14ac:dyDescent="0.3">
      <c r="A125" s="7" t="s">
        <v>67</v>
      </c>
    </row>
    <row r="127" spans="1:1" x14ac:dyDescent="0.3">
      <c r="A127" s="7" t="s">
        <v>68</v>
      </c>
    </row>
    <row r="129" spans="1:1" x14ac:dyDescent="0.3">
      <c r="A129" s="7" t="s">
        <v>69</v>
      </c>
    </row>
    <row r="131" spans="1:1" x14ac:dyDescent="0.3">
      <c r="A131" s="7" t="s">
        <v>70</v>
      </c>
    </row>
    <row r="133" spans="1:1" x14ac:dyDescent="0.3">
      <c r="A133" s="7" t="s">
        <v>71</v>
      </c>
    </row>
    <row r="134" spans="1:1" x14ac:dyDescent="0.3">
      <c r="A134" s="7"/>
    </row>
    <row r="135" spans="1:1" x14ac:dyDescent="0.3">
      <c r="A135" s="7"/>
    </row>
    <row r="136" spans="1:1" x14ac:dyDescent="0.3">
      <c r="A136" s="7"/>
    </row>
    <row r="137" spans="1:1" x14ac:dyDescent="0.3">
      <c r="A137" s="6" t="s">
        <v>72</v>
      </c>
    </row>
    <row r="138" spans="1:1" x14ac:dyDescent="0.3">
      <c r="A138" s="7" t="s">
        <v>73</v>
      </c>
    </row>
    <row r="140" spans="1:1" x14ac:dyDescent="0.3">
      <c r="A140" s="7" t="s">
        <v>74</v>
      </c>
    </row>
    <row r="141" spans="1:1" x14ac:dyDescent="0.3">
      <c r="A141" s="7" t="s">
        <v>75</v>
      </c>
    </row>
    <row r="142" spans="1:1" x14ac:dyDescent="0.3">
      <c r="A142" s="7" t="s">
        <v>76</v>
      </c>
    </row>
    <row r="144" spans="1:1" x14ac:dyDescent="0.3">
      <c r="A144" s="7" t="s">
        <v>77</v>
      </c>
    </row>
    <row r="146" spans="1:1" x14ac:dyDescent="0.3">
      <c r="A146" s="7" t="s">
        <v>78</v>
      </c>
    </row>
    <row r="148" spans="1:1" x14ac:dyDescent="0.3">
      <c r="A148" s="7" t="s">
        <v>79</v>
      </c>
    </row>
    <row r="150" spans="1:1" x14ac:dyDescent="0.3">
      <c r="A150" s="7" t="s">
        <v>80</v>
      </c>
    </row>
    <row r="152" spans="1:1" x14ac:dyDescent="0.3">
      <c r="A152" s="7" t="s">
        <v>81</v>
      </c>
    </row>
    <row r="154" spans="1:1" x14ac:dyDescent="0.3">
      <c r="A154" s="7" t="s">
        <v>82</v>
      </c>
    </row>
    <row r="156" spans="1:1" x14ac:dyDescent="0.3">
      <c r="A156" s="7" t="s">
        <v>83</v>
      </c>
    </row>
    <row r="158" spans="1:1" x14ac:dyDescent="0.3">
      <c r="A158" s="7" t="s">
        <v>84</v>
      </c>
    </row>
    <row r="160" spans="1:1" x14ac:dyDescent="0.3">
      <c r="A160" s="7"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112E9-B1A7-4934-884B-CB7C4D9BB7E3}">
  <dimension ref="A1:B6"/>
  <sheetViews>
    <sheetView workbookViewId="0">
      <selection activeCell="L5" sqref="L5"/>
    </sheetView>
  </sheetViews>
  <sheetFormatPr defaultRowHeight="14.4" x14ac:dyDescent="0.3"/>
  <sheetData>
    <row r="1" spans="1:2" x14ac:dyDescent="0.3">
      <c r="A1" s="10" t="s">
        <v>321</v>
      </c>
      <c r="B1" s="10" t="s">
        <v>327</v>
      </c>
    </row>
    <row r="2" spans="1:2" x14ac:dyDescent="0.3">
      <c r="A2" t="s">
        <v>322</v>
      </c>
      <c r="B2">
        <f>AVERAGE('Employee Performance and Attend'!H2:H21)</f>
        <v>85.22727272727272</v>
      </c>
    </row>
    <row r="3" spans="1:2" x14ac:dyDescent="0.3">
      <c r="A3" t="s">
        <v>323</v>
      </c>
      <c r="B3">
        <f>AVERAGE('Employee Performance and Attend'!H22:H41)</f>
        <v>83.409090909090907</v>
      </c>
    </row>
    <row r="4" spans="1:2" x14ac:dyDescent="0.3">
      <c r="A4" t="s">
        <v>324</v>
      </c>
      <c r="B4">
        <f>AVERAGE('Employee Performance and Attend'!$G$42:$G$61)</f>
        <v>89.203330475210151</v>
      </c>
    </row>
    <row r="5" spans="1:2" x14ac:dyDescent="0.3">
      <c r="A5" t="s">
        <v>325</v>
      </c>
      <c r="B5">
        <f>AVERAGE('Employee Performance and Attend'!$G$62:$G$81)</f>
        <v>95.496090411802186</v>
      </c>
    </row>
    <row r="6" spans="1:2" x14ac:dyDescent="0.3">
      <c r="A6" t="s">
        <v>326</v>
      </c>
      <c r="B6">
        <f>AVERAGE('Employee Performance and Attend'!G82:G101)</f>
        <v>98.596088434492515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E16-D2CE-4C75-9EF0-75686F51C074}">
  <dimension ref="A1:E5"/>
  <sheetViews>
    <sheetView workbookViewId="0">
      <selection activeCell="B5" sqref="B5"/>
    </sheetView>
  </sheetViews>
  <sheetFormatPr defaultRowHeight="14.4" x14ac:dyDescent="0.3"/>
  <cols>
    <col min="1" max="1" width="23" customWidth="1"/>
  </cols>
  <sheetData>
    <row r="1" spans="1:5" x14ac:dyDescent="0.3">
      <c r="A1" t="s">
        <v>313</v>
      </c>
      <c r="B1">
        <f>AVERAGE('Employee Performance and Attend'!H2:H101)</f>
        <v>84.272727272727266</v>
      </c>
    </row>
    <row r="2" spans="1:5" x14ac:dyDescent="0.3">
      <c r="A2" t="s">
        <v>320</v>
      </c>
      <c r="C2">
        <f>AVERAGE('Employee Performance and Attend'!G2:G101)</f>
        <v>96.2209028093949</v>
      </c>
      <c r="D2">
        <f>AVERAGE('Employee Performance and Attend'!E2:E101)</f>
        <v>99.15</v>
      </c>
      <c r="E2">
        <f>C2/D2*100</f>
        <v>97.045792041749763</v>
      </c>
    </row>
    <row r="3" spans="1:5" x14ac:dyDescent="0.3">
      <c r="A3" t="s">
        <v>311</v>
      </c>
      <c r="B3" t="s">
        <v>94</v>
      </c>
    </row>
    <row r="4" spans="1:5" x14ac:dyDescent="0.3">
      <c r="A4" t="s">
        <v>312</v>
      </c>
      <c r="B4">
        <f>COUNTIF('Employee Performance and Attend'!J1:J101,"Poor")</f>
        <v>66</v>
      </c>
    </row>
    <row r="5" spans="1:5" x14ac:dyDescent="0.3">
      <c r="A5" t="s">
        <v>314</v>
      </c>
      <c r="B5">
        <f>GETPIVOTDATA("Employee ID",underperformer!$A$34)</f>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C0507-211A-4FFD-86F6-8F4CE89D534F}">
  <dimension ref="A3:B4"/>
  <sheetViews>
    <sheetView workbookViewId="0">
      <selection activeCell="M20" sqref="M20"/>
    </sheetView>
  </sheetViews>
  <sheetFormatPr defaultRowHeight="14.4" x14ac:dyDescent="0.3"/>
  <cols>
    <col min="1" max="1" width="22.109375" bestFit="1" customWidth="1"/>
    <col min="2" max="2" width="19.5546875" bestFit="1" customWidth="1"/>
  </cols>
  <sheetData>
    <row r="3" spans="1:2" x14ac:dyDescent="0.3">
      <c r="A3" s="8" t="s">
        <v>310</v>
      </c>
      <c r="B3" t="s">
        <v>309</v>
      </c>
    </row>
    <row r="4" spans="1:2" x14ac:dyDescent="0.3">
      <c r="A4" s="9" t="s">
        <v>300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F89C0-1D65-4049-A892-FB5CA1FE47A4}">
  <dimension ref="A3:C9"/>
  <sheetViews>
    <sheetView workbookViewId="0">
      <selection activeCell="J19" sqref="J19"/>
    </sheetView>
  </sheetViews>
  <sheetFormatPr defaultRowHeight="14.4" x14ac:dyDescent="0.3"/>
  <cols>
    <col min="1" max="1" width="12.5546875" bestFit="1" customWidth="1"/>
    <col min="2" max="2" width="24.33203125" bestFit="1" customWidth="1"/>
    <col min="3" max="3" width="23" bestFit="1" customWidth="1"/>
  </cols>
  <sheetData>
    <row r="3" spans="1:3" x14ac:dyDescent="0.3">
      <c r="A3" s="8" t="s">
        <v>88</v>
      </c>
      <c r="B3" t="s">
        <v>330</v>
      </c>
      <c r="C3" t="s">
        <v>329</v>
      </c>
    </row>
    <row r="4" spans="1:3" x14ac:dyDescent="0.3">
      <c r="A4" s="9" t="s">
        <v>103</v>
      </c>
      <c r="B4">
        <v>22</v>
      </c>
      <c r="C4">
        <v>89</v>
      </c>
    </row>
    <row r="5" spans="1:3" x14ac:dyDescent="0.3">
      <c r="A5" s="9" t="s">
        <v>97</v>
      </c>
      <c r="B5">
        <v>21</v>
      </c>
      <c r="C5">
        <v>67</v>
      </c>
    </row>
    <row r="6" spans="1:3" x14ac:dyDescent="0.3">
      <c r="A6" s="9" t="s">
        <v>112</v>
      </c>
      <c r="B6">
        <v>17</v>
      </c>
      <c r="C6">
        <v>54</v>
      </c>
    </row>
    <row r="7" spans="1:3" x14ac:dyDescent="0.3">
      <c r="A7" s="9" t="s">
        <v>100</v>
      </c>
      <c r="B7">
        <v>24</v>
      </c>
      <c r="C7">
        <v>70</v>
      </c>
    </row>
    <row r="8" spans="1:3" x14ac:dyDescent="0.3">
      <c r="A8" s="9" t="s">
        <v>94</v>
      </c>
      <c r="B8">
        <v>16</v>
      </c>
      <c r="C8">
        <v>66</v>
      </c>
    </row>
    <row r="9" spans="1:3" x14ac:dyDescent="0.3">
      <c r="A9" s="9" t="s">
        <v>300</v>
      </c>
      <c r="B9">
        <v>100</v>
      </c>
      <c r="C9">
        <v>346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60FD2-8BD4-4061-850C-8217C0EBD2D6}">
  <dimension ref="A1:K101"/>
  <sheetViews>
    <sheetView tabSelected="1" topLeftCell="C1" workbookViewId="0">
      <selection activeCell="L5" sqref="L5"/>
    </sheetView>
  </sheetViews>
  <sheetFormatPr defaultRowHeight="14.4" x14ac:dyDescent="0.3"/>
  <cols>
    <col min="1" max="1" width="13.109375" customWidth="1"/>
    <col min="2" max="2" width="15" customWidth="1"/>
    <col min="3" max="3" width="17.5546875" customWidth="1"/>
    <col min="4" max="4" width="23.77734375" customWidth="1"/>
    <col min="5" max="5" width="13.5546875" customWidth="1"/>
    <col min="6" max="6" width="17.21875" customWidth="1"/>
    <col min="7" max="8" width="23.44140625" customWidth="1"/>
    <col min="9" max="9" width="26.21875" customWidth="1"/>
    <col min="10" max="10" width="19.5546875" customWidth="1"/>
    <col min="11" max="11" width="33.21875" customWidth="1"/>
  </cols>
  <sheetData>
    <row r="1" spans="1:11" x14ac:dyDescent="0.3">
      <c r="A1" s="10" t="s">
        <v>86</v>
      </c>
      <c r="B1" s="10" t="s">
        <v>87</v>
      </c>
      <c r="C1" s="10" t="s">
        <v>88</v>
      </c>
      <c r="D1" s="10" t="s">
        <v>89</v>
      </c>
      <c r="E1" s="10" t="s">
        <v>90</v>
      </c>
      <c r="F1" s="10" t="s">
        <v>91</v>
      </c>
      <c r="G1" s="10" t="s">
        <v>301</v>
      </c>
      <c r="H1" s="10" t="s">
        <v>297</v>
      </c>
      <c r="I1" s="10" t="s">
        <v>298</v>
      </c>
      <c r="J1" s="10" t="s">
        <v>299</v>
      </c>
      <c r="K1" s="10" t="s">
        <v>328</v>
      </c>
    </row>
    <row r="2" spans="1:11" x14ac:dyDescent="0.3">
      <c r="A2" t="s">
        <v>92</v>
      </c>
      <c r="B2" t="s">
        <v>93</v>
      </c>
      <c r="C2" t="s">
        <v>94</v>
      </c>
      <c r="D2">
        <v>15</v>
      </c>
      <c r="E2">
        <v>112</v>
      </c>
      <c r="F2">
        <v>63</v>
      </c>
      <c r="G2">
        <f>('Employee Performance and Attend'!F2/'Employee Performance and Attend'!E2)*100</f>
        <v>56.25</v>
      </c>
      <c r="H2">
        <f t="shared" ref="H2:H33" si="0">D2/22*100</f>
        <v>68.181818181818173</v>
      </c>
      <c r="I2" t="str">
        <f t="shared" ref="I2:I33" si="1">IF(G2&gt;=100,"Excellent", IF(G2&gt;=90,"Good", IF(G2&gt;=80,"Needs Improvement","Underperformer")))</f>
        <v>Underperformer</v>
      </c>
      <c r="J2" t="str">
        <f t="shared" ref="J2:J33" si="2">IF(H2&gt;=95,"Excellent", IF(H2&gt;=90,"Satisfactory","Poor"))</f>
        <v>Poor</v>
      </c>
      <c r="K2">
        <f>22-D2</f>
        <v>7</v>
      </c>
    </row>
    <row r="3" spans="1:11" x14ac:dyDescent="0.3">
      <c r="A3" t="s">
        <v>95</v>
      </c>
      <c r="B3" t="s">
        <v>96</v>
      </c>
      <c r="C3" t="s">
        <v>97</v>
      </c>
      <c r="D3">
        <v>15</v>
      </c>
      <c r="E3">
        <v>80</v>
      </c>
      <c r="F3">
        <v>115</v>
      </c>
      <c r="G3">
        <f>('Employee Performance and Attend'!F3/'Employee Performance and Attend'!E3)*100</f>
        <v>143.75</v>
      </c>
      <c r="H3">
        <f t="shared" si="0"/>
        <v>68.181818181818173</v>
      </c>
      <c r="I3" t="str">
        <f t="shared" si="1"/>
        <v>Excellent</v>
      </c>
      <c r="J3" t="str">
        <f t="shared" si="2"/>
        <v>Poor</v>
      </c>
      <c r="K3">
        <f t="shared" ref="K3:K66" si="3">22-D3</f>
        <v>7</v>
      </c>
    </row>
    <row r="4" spans="1:11" x14ac:dyDescent="0.3">
      <c r="A4" t="s">
        <v>98</v>
      </c>
      <c r="B4" t="s">
        <v>99</v>
      </c>
      <c r="C4" t="s">
        <v>100</v>
      </c>
      <c r="D4">
        <v>22</v>
      </c>
      <c r="E4">
        <v>97</v>
      </c>
      <c r="F4">
        <v>84</v>
      </c>
      <c r="G4">
        <f>('Employee Performance and Attend'!F4/'Employee Performance and Attend'!E4)*100</f>
        <v>86.597938144329902</v>
      </c>
      <c r="H4">
        <f t="shared" si="0"/>
        <v>100</v>
      </c>
      <c r="I4" t="str">
        <f t="shared" si="1"/>
        <v>Needs Improvement</v>
      </c>
      <c r="J4" t="str">
        <f t="shared" si="2"/>
        <v>Excellent</v>
      </c>
      <c r="K4">
        <f t="shared" si="3"/>
        <v>0</v>
      </c>
    </row>
    <row r="5" spans="1:11" x14ac:dyDescent="0.3">
      <c r="A5" t="s">
        <v>101</v>
      </c>
      <c r="B5" t="s">
        <v>102</v>
      </c>
      <c r="C5" t="s">
        <v>103</v>
      </c>
      <c r="D5">
        <v>15</v>
      </c>
      <c r="E5">
        <v>111</v>
      </c>
      <c r="F5">
        <v>126</v>
      </c>
      <c r="G5">
        <f>('Employee Performance and Attend'!F5/'Employee Performance and Attend'!E5)*100</f>
        <v>113.51351351351352</v>
      </c>
      <c r="H5">
        <f t="shared" si="0"/>
        <v>68.181818181818173</v>
      </c>
      <c r="I5" t="str">
        <f t="shared" si="1"/>
        <v>Excellent</v>
      </c>
      <c r="J5" t="str">
        <f t="shared" si="2"/>
        <v>Poor</v>
      </c>
      <c r="K5">
        <f t="shared" si="3"/>
        <v>7</v>
      </c>
    </row>
    <row r="6" spans="1:11" x14ac:dyDescent="0.3">
      <c r="A6" t="s">
        <v>104</v>
      </c>
      <c r="B6" t="s">
        <v>105</v>
      </c>
      <c r="C6" t="s">
        <v>97</v>
      </c>
      <c r="D6">
        <v>20</v>
      </c>
      <c r="E6">
        <v>90</v>
      </c>
      <c r="F6">
        <v>126</v>
      </c>
      <c r="G6">
        <f>('Employee Performance and Attend'!F6/'Employee Performance and Attend'!E6)*100</f>
        <v>140</v>
      </c>
      <c r="H6">
        <f t="shared" si="0"/>
        <v>90.909090909090907</v>
      </c>
      <c r="I6" t="str">
        <f t="shared" si="1"/>
        <v>Excellent</v>
      </c>
      <c r="J6" t="str">
        <f t="shared" si="2"/>
        <v>Satisfactory</v>
      </c>
      <c r="K6">
        <f t="shared" si="3"/>
        <v>2</v>
      </c>
    </row>
    <row r="7" spans="1:11" x14ac:dyDescent="0.3">
      <c r="A7" t="s">
        <v>106</v>
      </c>
      <c r="B7" t="s">
        <v>107</v>
      </c>
      <c r="C7" t="s">
        <v>100</v>
      </c>
      <c r="D7">
        <v>19</v>
      </c>
      <c r="E7">
        <v>100</v>
      </c>
      <c r="F7">
        <v>86</v>
      </c>
      <c r="G7">
        <f>('Employee Performance and Attend'!F7/'Employee Performance and Attend'!E7)*100</f>
        <v>86</v>
      </c>
      <c r="H7">
        <f t="shared" si="0"/>
        <v>86.36363636363636</v>
      </c>
      <c r="I7" t="str">
        <f t="shared" si="1"/>
        <v>Needs Improvement</v>
      </c>
      <c r="J7" t="str">
        <f t="shared" si="2"/>
        <v>Poor</v>
      </c>
      <c r="K7">
        <f t="shared" si="3"/>
        <v>3</v>
      </c>
    </row>
    <row r="8" spans="1:11" x14ac:dyDescent="0.3">
      <c r="A8" t="s">
        <v>108</v>
      </c>
      <c r="B8" t="s">
        <v>109</v>
      </c>
      <c r="C8" t="s">
        <v>97</v>
      </c>
      <c r="D8">
        <v>20</v>
      </c>
      <c r="E8">
        <v>105</v>
      </c>
      <c r="F8">
        <v>91</v>
      </c>
      <c r="G8">
        <f>('Employee Performance and Attend'!F8/'Employee Performance and Attend'!E8)*100</f>
        <v>86.666666666666671</v>
      </c>
      <c r="H8">
        <f t="shared" si="0"/>
        <v>90.909090909090907</v>
      </c>
      <c r="I8" t="str">
        <f t="shared" si="1"/>
        <v>Needs Improvement</v>
      </c>
      <c r="J8" t="str">
        <f t="shared" si="2"/>
        <v>Satisfactory</v>
      </c>
      <c r="K8">
        <f t="shared" si="3"/>
        <v>2</v>
      </c>
    </row>
    <row r="9" spans="1:11" x14ac:dyDescent="0.3">
      <c r="A9" t="s">
        <v>110</v>
      </c>
      <c r="B9" t="s">
        <v>111</v>
      </c>
      <c r="C9" t="s">
        <v>112</v>
      </c>
      <c r="D9">
        <v>16</v>
      </c>
      <c r="E9">
        <v>104</v>
      </c>
      <c r="F9">
        <v>109</v>
      </c>
      <c r="G9">
        <f>('Employee Performance and Attend'!F9/'Employee Performance and Attend'!E9)*100</f>
        <v>104.80769230769231</v>
      </c>
      <c r="H9">
        <f t="shared" si="0"/>
        <v>72.727272727272734</v>
      </c>
      <c r="I9" t="str">
        <f t="shared" si="1"/>
        <v>Excellent</v>
      </c>
      <c r="J9" t="str">
        <f t="shared" si="2"/>
        <v>Poor</v>
      </c>
      <c r="K9">
        <f t="shared" si="3"/>
        <v>6</v>
      </c>
    </row>
    <row r="10" spans="1:11" x14ac:dyDescent="0.3">
      <c r="A10" t="s">
        <v>113</v>
      </c>
      <c r="B10" t="s">
        <v>114</v>
      </c>
      <c r="C10" t="s">
        <v>97</v>
      </c>
      <c r="D10">
        <v>18</v>
      </c>
      <c r="E10">
        <v>101</v>
      </c>
      <c r="F10">
        <v>120</v>
      </c>
      <c r="G10">
        <f>('Employee Performance and Attend'!F10/'Employee Performance and Attend'!E10)*100</f>
        <v>118.8118811881188</v>
      </c>
      <c r="H10">
        <f t="shared" si="0"/>
        <v>81.818181818181827</v>
      </c>
      <c r="I10" t="str">
        <f t="shared" si="1"/>
        <v>Excellent</v>
      </c>
      <c r="J10" t="str">
        <f t="shared" si="2"/>
        <v>Poor</v>
      </c>
      <c r="K10">
        <f t="shared" si="3"/>
        <v>4</v>
      </c>
    </row>
    <row r="11" spans="1:11" x14ac:dyDescent="0.3">
      <c r="A11" t="s">
        <v>115</v>
      </c>
      <c r="B11" t="s">
        <v>116</v>
      </c>
      <c r="C11" t="s">
        <v>97</v>
      </c>
      <c r="D11">
        <v>19</v>
      </c>
      <c r="E11">
        <v>106</v>
      </c>
      <c r="F11">
        <v>110</v>
      </c>
      <c r="G11">
        <f>('Employee Performance and Attend'!F11/'Employee Performance and Attend'!E11)*100</f>
        <v>103.77358490566037</v>
      </c>
      <c r="H11">
        <f t="shared" si="0"/>
        <v>86.36363636363636</v>
      </c>
      <c r="I11" t="str">
        <f t="shared" si="1"/>
        <v>Excellent</v>
      </c>
      <c r="J11" t="str">
        <f t="shared" si="2"/>
        <v>Poor</v>
      </c>
      <c r="K11">
        <f t="shared" si="3"/>
        <v>3</v>
      </c>
    </row>
    <row r="12" spans="1:11" x14ac:dyDescent="0.3">
      <c r="A12" t="s">
        <v>117</v>
      </c>
      <c r="B12" t="s">
        <v>118</v>
      </c>
      <c r="C12" t="s">
        <v>97</v>
      </c>
      <c r="D12">
        <v>22</v>
      </c>
      <c r="E12">
        <v>92</v>
      </c>
      <c r="F12">
        <v>78</v>
      </c>
      <c r="G12">
        <f>('Employee Performance and Attend'!F12/'Employee Performance and Attend'!E12)*100</f>
        <v>84.782608695652172</v>
      </c>
      <c r="H12">
        <f t="shared" si="0"/>
        <v>100</v>
      </c>
      <c r="I12" t="str">
        <f t="shared" si="1"/>
        <v>Needs Improvement</v>
      </c>
      <c r="J12" t="str">
        <f t="shared" si="2"/>
        <v>Excellent</v>
      </c>
      <c r="K12">
        <f t="shared" si="3"/>
        <v>0</v>
      </c>
    </row>
    <row r="13" spans="1:11" x14ac:dyDescent="0.3">
      <c r="A13" t="s">
        <v>119</v>
      </c>
      <c r="B13" t="s">
        <v>120</v>
      </c>
      <c r="C13" t="s">
        <v>103</v>
      </c>
      <c r="D13">
        <v>19</v>
      </c>
      <c r="E13">
        <v>112</v>
      </c>
      <c r="F13">
        <v>80</v>
      </c>
      <c r="G13">
        <f>('Employee Performance and Attend'!F13/'Employee Performance and Attend'!E13)*100</f>
        <v>71.428571428571431</v>
      </c>
      <c r="H13">
        <f t="shared" si="0"/>
        <v>86.36363636363636</v>
      </c>
      <c r="I13" t="str">
        <f t="shared" si="1"/>
        <v>Underperformer</v>
      </c>
      <c r="J13" t="str">
        <f t="shared" si="2"/>
        <v>Poor</v>
      </c>
      <c r="K13">
        <f t="shared" si="3"/>
        <v>3</v>
      </c>
    </row>
    <row r="14" spans="1:11" x14ac:dyDescent="0.3">
      <c r="A14" t="s">
        <v>121</v>
      </c>
      <c r="B14" t="s">
        <v>122</v>
      </c>
      <c r="C14" t="s">
        <v>97</v>
      </c>
      <c r="D14">
        <v>19</v>
      </c>
      <c r="E14">
        <v>113</v>
      </c>
      <c r="F14">
        <v>64</v>
      </c>
      <c r="G14">
        <f>('Employee Performance and Attend'!F14/'Employee Performance and Attend'!E14)*100</f>
        <v>56.637168141592923</v>
      </c>
      <c r="H14">
        <f t="shared" si="0"/>
        <v>86.36363636363636</v>
      </c>
      <c r="I14" t="str">
        <f t="shared" si="1"/>
        <v>Underperformer</v>
      </c>
      <c r="J14" t="str">
        <f t="shared" si="2"/>
        <v>Poor</v>
      </c>
      <c r="K14">
        <f t="shared" si="3"/>
        <v>3</v>
      </c>
    </row>
    <row r="15" spans="1:11" x14ac:dyDescent="0.3">
      <c r="A15" t="s">
        <v>123</v>
      </c>
      <c r="B15" t="s">
        <v>124</v>
      </c>
      <c r="C15" t="s">
        <v>100</v>
      </c>
      <c r="D15">
        <v>21</v>
      </c>
      <c r="E15">
        <v>114</v>
      </c>
      <c r="F15">
        <v>101</v>
      </c>
      <c r="G15">
        <f>('Employee Performance and Attend'!F15/'Employee Performance and Attend'!E15)*100</f>
        <v>88.596491228070178</v>
      </c>
      <c r="H15">
        <f t="shared" si="0"/>
        <v>95.454545454545453</v>
      </c>
      <c r="I15" t="str">
        <f t="shared" si="1"/>
        <v>Needs Improvement</v>
      </c>
      <c r="J15" t="str">
        <f t="shared" si="2"/>
        <v>Excellent</v>
      </c>
      <c r="K15">
        <f t="shared" si="3"/>
        <v>1</v>
      </c>
    </row>
    <row r="16" spans="1:11" x14ac:dyDescent="0.3">
      <c r="A16" t="s">
        <v>125</v>
      </c>
      <c r="B16" t="s">
        <v>126</v>
      </c>
      <c r="C16" t="s">
        <v>112</v>
      </c>
      <c r="D16">
        <v>19</v>
      </c>
      <c r="E16">
        <v>80</v>
      </c>
      <c r="F16">
        <v>120</v>
      </c>
      <c r="G16">
        <f>('Employee Performance and Attend'!F16/'Employee Performance and Attend'!E16)*100</f>
        <v>150</v>
      </c>
      <c r="H16">
        <f t="shared" si="0"/>
        <v>86.36363636363636</v>
      </c>
      <c r="I16" t="str">
        <f t="shared" si="1"/>
        <v>Excellent</v>
      </c>
      <c r="J16" t="str">
        <f t="shared" si="2"/>
        <v>Poor</v>
      </c>
      <c r="K16">
        <f t="shared" si="3"/>
        <v>3</v>
      </c>
    </row>
    <row r="17" spans="1:11" x14ac:dyDescent="0.3">
      <c r="A17" t="s">
        <v>127</v>
      </c>
      <c r="B17" t="s">
        <v>128</v>
      </c>
      <c r="C17" t="s">
        <v>112</v>
      </c>
      <c r="D17">
        <v>22</v>
      </c>
      <c r="E17">
        <v>100</v>
      </c>
      <c r="F17">
        <v>81</v>
      </c>
      <c r="G17">
        <f>('Employee Performance and Attend'!F17/'Employee Performance and Attend'!E17)*100</f>
        <v>81</v>
      </c>
      <c r="H17">
        <f t="shared" si="0"/>
        <v>100</v>
      </c>
      <c r="I17" t="str">
        <f t="shared" si="1"/>
        <v>Needs Improvement</v>
      </c>
      <c r="J17" t="str">
        <f t="shared" si="2"/>
        <v>Excellent</v>
      </c>
      <c r="K17">
        <f t="shared" si="3"/>
        <v>0</v>
      </c>
    </row>
    <row r="18" spans="1:11" x14ac:dyDescent="0.3">
      <c r="A18" t="s">
        <v>129</v>
      </c>
      <c r="B18" t="s">
        <v>130</v>
      </c>
      <c r="C18" t="s">
        <v>97</v>
      </c>
      <c r="D18">
        <v>20</v>
      </c>
      <c r="E18">
        <v>85</v>
      </c>
      <c r="F18">
        <v>80</v>
      </c>
      <c r="G18">
        <f>('Employee Performance and Attend'!F18/'Employee Performance and Attend'!E18)*100</f>
        <v>94.117647058823522</v>
      </c>
      <c r="H18">
        <f t="shared" si="0"/>
        <v>90.909090909090907</v>
      </c>
      <c r="I18" t="str">
        <f t="shared" si="1"/>
        <v>Good</v>
      </c>
      <c r="J18" t="str">
        <f t="shared" si="2"/>
        <v>Satisfactory</v>
      </c>
      <c r="K18">
        <f t="shared" si="3"/>
        <v>2</v>
      </c>
    </row>
    <row r="19" spans="1:11" x14ac:dyDescent="0.3">
      <c r="A19" t="s">
        <v>131</v>
      </c>
      <c r="B19" t="s">
        <v>132</v>
      </c>
      <c r="C19" t="s">
        <v>103</v>
      </c>
      <c r="D19">
        <v>19</v>
      </c>
      <c r="E19">
        <v>107</v>
      </c>
      <c r="F19">
        <v>129</v>
      </c>
      <c r="G19">
        <f>('Employee Performance and Attend'!F19/'Employee Performance and Attend'!E19)*100</f>
        <v>120.56074766355141</v>
      </c>
      <c r="H19">
        <f t="shared" si="0"/>
        <v>86.36363636363636</v>
      </c>
      <c r="I19" t="str">
        <f t="shared" si="1"/>
        <v>Excellent</v>
      </c>
      <c r="J19" t="str">
        <f t="shared" si="2"/>
        <v>Poor</v>
      </c>
      <c r="K19">
        <f t="shared" si="3"/>
        <v>3</v>
      </c>
    </row>
    <row r="20" spans="1:11" x14ac:dyDescent="0.3">
      <c r="A20" t="s">
        <v>133</v>
      </c>
      <c r="B20" t="s">
        <v>134</v>
      </c>
      <c r="C20" t="s">
        <v>103</v>
      </c>
      <c r="D20">
        <v>17</v>
      </c>
      <c r="E20">
        <v>96</v>
      </c>
      <c r="F20">
        <v>60</v>
      </c>
      <c r="G20">
        <f>('Employee Performance and Attend'!F20/'Employee Performance and Attend'!E20)*100</f>
        <v>62.5</v>
      </c>
      <c r="H20">
        <f t="shared" si="0"/>
        <v>77.272727272727266</v>
      </c>
      <c r="I20" t="str">
        <f t="shared" si="1"/>
        <v>Underperformer</v>
      </c>
      <c r="J20" t="str">
        <f t="shared" si="2"/>
        <v>Poor</v>
      </c>
      <c r="K20">
        <f t="shared" si="3"/>
        <v>5</v>
      </c>
    </row>
    <row r="21" spans="1:11" x14ac:dyDescent="0.3">
      <c r="A21" t="s">
        <v>135</v>
      </c>
      <c r="B21" t="s">
        <v>136</v>
      </c>
      <c r="C21" t="s">
        <v>100</v>
      </c>
      <c r="D21">
        <v>18</v>
      </c>
      <c r="E21">
        <v>84</v>
      </c>
      <c r="F21">
        <v>64</v>
      </c>
      <c r="G21">
        <f>('Employee Performance and Attend'!F21/'Employee Performance and Attend'!E21)*100</f>
        <v>76.19047619047619</v>
      </c>
      <c r="H21">
        <f t="shared" si="0"/>
        <v>81.818181818181827</v>
      </c>
      <c r="I21" t="str">
        <f t="shared" si="1"/>
        <v>Underperformer</v>
      </c>
      <c r="J21" t="str">
        <f t="shared" si="2"/>
        <v>Poor</v>
      </c>
      <c r="K21">
        <f t="shared" si="3"/>
        <v>4</v>
      </c>
    </row>
    <row r="22" spans="1:11" x14ac:dyDescent="0.3">
      <c r="A22" t="s">
        <v>137</v>
      </c>
      <c r="B22" t="s">
        <v>138</v>
      </c>
      <c r="C22" t="s">
        <v>97</v>
      </c>
      <c r="D22">
        <v>19</v>
      </c>
      <c r="E22">
        <v>110</v>
      </c>
      <c r="F22">
        <v>71</v>
      </c>
      <c r="G22">
        <f>('Employee Performance and Attend'!F22/'Employee Performance and Attend'!E22)*100</f>
        <v>64.545454545454547</v>
      </c>
      <c r="H22">
        <f t="shared" si="0"/>
        <v>86.36363636363636</v>
      </c>
      <c r="I22" t="str">
        <f t="shared" si="1"/>
        <v>Underperformer</v>
      </c>
      <c r="J22" t="str">
        <f t="shared" si="2"/>
        <v>Poor</v>
      </c>
      <c r="K22">
        <f t="shared" si="3"/>
        <v>3</v>
      </c>
    </row>
    <row r="23" spans="1:11" x14ac:dyDescent="0.3">
      <c r="A23" t="s">
        <v>139</v>
      </c>
      <c r="B23" t="s">
        <v>140</v>
      </c>
      <c r="C23" t="s">
        <v>112</v>
      </c>
      <c r="D23">
        <v>18</v>
      </c>
      <c r="E23">
        <v>84</v>
      </c>
      <c r="F23">
        <v>105</v>
      </c>
      <c r="G23">
        <f>('Employee Performance and Attend'!F23/'Employee Performance and Attend'!E23)*100</f>
        <v>125</v>
      </c>
      <c r="H23">
        <f t="shared" si="0"/>
        <v>81.818181818181827</v>
      </c>
      <c r="I23" t="str">
        <f t="shared" si="1"/>
        <v>Excellent</v>
      </c>
      <c r="J23" t="str">
        <f t="shared" si="2"/>
        <v>Poor</v>
      </c>
      <c r="K23">
        <f t="shared" si="3"/>
        <v>4</v>
      </c>
    </row>
    <row r="24" spans="1:11" x14ac:dyDescent="0.3">
      <c r="A24" t="s">
        <v>141</v>
      </c>
      <c r="B24" t="s">
        <v>142</v>
      </c>
      <c r="C24" t="s">
        <v>103</v>
      </c>
      <c r="D24">
        <v>17</v>
      </c>
      <c r="E24">
        <v>117</v>
      </c>
      <c r="F24">
        <v>93</v>
      </c>
      <c r="G24">
        <f>('Employee Performance and Attend'!F24/'Employee Performance and Attend'!E24)*100</f>
        <v>79.487179487179489</v>
      </c>
      <c r="H24">
        <f t="shared" si="0"/>
        <v>77.272727272727266</v>
      </c>
      <c r="I24" t="str">
        <f t="shared" si="1"/>
        <v>Underperformer</v>
      </c>
      <c r="J24" t="str">
        <f t="shared" si="2"/>
        <v>Poor</v>
      </c>
      <c r="K24">
        <f t="shared" si="3"/>
        <v>5</v>
      </c>
    </row>
    <row r="25" spans="1:11" x14ac:dyDescent="0.3">
      <c r="A25" t="s">
        <v>143</v>
      </c>
      <c r="B25" t="s">
        <v>144</v>
      </c>
      <c r="C25" t="s">
        <v>97</v>
      </c>
      <c r="D25">
        <v>17</v>
      </c>
      <c r="E25">
        <v>82</v>
      </c>
      <c r="F25">
        <v>108</v>
      </c>
      <c r="G25">
        <f>('Employee Performance and Attend'!F25/'Employee Performance and Attend'!E25)*100</f>
        <v>131.70731707317074</v>
      </c>
      <c r="H25">
        <f t="shared" si="0"/>
        <v>77.272727272727266</v>
      </c>
      <c r="I25" t="str">
        <f t="shared" si="1"/>
        <v>Excellent</v>
      </c>
      <c r="J25" t="str">
        <f t="shared" si="2"/>
        <v>Poor</v>
      </c>
      <c r="K25">
        <f t="shared" si="3"/>
        <v>5</v>
      </c>
    </row>
    <row r="26" spans="1:11" x14ac:dyDescent="0.3">
      <c r="A26" t="s">
        <v>145</v>
      </c>
      <c r="B26" t="s">
        <v>146</v>
      </c>
      <c r="C26" t="s">
        <v>103</v>
      </c>
      <c r="D26">
        <v>18</v>
      </c>
      <c r="E26">
        <v>102</v>
      </c>
      <c r="F26">
        <v>104</v>
      </c>
      <c r="G26">
        <f>('Employee Performance and Attend'!F26/'Employee Performance and Attend'!E26)*100</f>
        <v>101.96078431372548</v>
      </c>
      <c r="H26">
        <f t="shared" si="0"/>
        <v>81.818181818181827</v>
      </c>
      <c r="I26" t="str">
        <f t="shared" si="1"/>
        <v>Excellent</v>
      </c>
      <c r="J26" t="str">
        <f t="shared" si="2"/>
        <v>Poor</v>
      </c>
      <c r="K26">
        <f t="shared" si="3"/>
        <v>4</v>
      </c>
    </row>
    <row r="27" spans="1:11" x14ac:dyDescent="0.3">
      <c r="A27" t="s">
        <v>147</v>
      </c>
      <c r="B27" t="s">
        <v>148</v>
      </c>
      <c r="C27" t="s">
        <v>103</v>
      </c>
      <c r="D27">
        <v>15</v>
      </c>
      <c r="E27">
        <v>116</v>
      </c>
      <c r="F27">
        <v>86</v>
      </c>
      <c r="G27">
        <f>('Employee Performance and Attend'!F27/'Employee Performance and Attend'!E27)*100</f>
        <v>74.137931034482762</v>
      </c>
      <c r="H27">
        <f t="shared" si="0"/>
        <v>68.181818181818173</v>
      </c>
      <c r="I27" t="str">
        <f t="shared" si="1"/>
        <v>Underperformer</v>
      </c>
      <c r="J27" t="str">
        <f t="shared" si="2"/>
        <v>Poor</v>
      </c>
      <c r="K27">
        <f t="shared" si="3"/>
        <v>7</v>
      </c>
    </row>
    <row r="28" spans="1:11" x14ac:dyDescent="0.3">
      <c r="A28" t="s">
        <v>149</v>
      </c>
      <c r="B28" t="s">
        <v>150</v>
      </c>
      <c r="C28" t="s">
        <v>112</v>
      </c>
      <c r="D28">
        <v>16</v>
      </c>
      <c r="E28">
        <v>116</v>
      </c>
      <c r="F28">
        <v>85</v>
      </c>
      <c r="G28">
        <f>('Employee Performance and Attend'!F28/'Employee Performance and Attend'!E28)*100</f>
        <v>73.275862068965509</v>
      </c>
      <c r="H28">
        <f t="shared" si="0"/>
        <v>72.727272727272734</v>
      </c>
      <c r="I28" t="str">
        <f t="shared" si="1"/>
        <v>Underperformer</v>
      </c>
      <c r="J28" t="str">
        <f t="shared" si="2"/>
        <v>Poor</v>
      </c>
      <c r="K28">
        <f t="shared" si="3"/>
        <v>6</v>
      </c>
    </row>
    <row r="29" spans="1:11" x14ac:dyDescent="0.3">
      <c r="A29" t="s">
        <v>151</v>
      </c>
      <c r="B29" t="s">
        <v>152</v>
      </c>
      <c r="C29" t="s">
        <v>94</v>
      </c>
      <c r="D29">
        <v>21</v>
      </c>
      <c r="E29">
        <v>89</v>
      </c>
      <c r="F29">
        <v>106</v>
      </c>
      <c r="G29">
        <f>('Employee Performance and Attend'!F29/'Employee Performance and Attend'!E29)*100</f>
        <v>119.10112359550563</v>
      </c>
      <c r="H29">
        <f t="shared" si="0"/>
        <v>95.454545454545453</v>
      </c>
      <c r="I29" t="str">
        <f t="shared" si="1"/>
        <v>Excellent</v>
      </c>
      <c r="J29" t="str">
        <f t="shared" si="2"/>
        <v>Excellent</v>
      </c>
      <c r="K29">
        <f t="shared" si="3"/>
        <v>1</v>
      </c>
    </row>
    <row r="30" spans="1:11" x14ac:dyDescent="0.3">
      <c r="A30" t="s">
        <v>153</v>
      </c>
      <c r="B30" t="s">
        <v>154</v>
      </c>
      <c r="C30" t="s">
        <v>100</v>
      </c>
      <c r="D30">
        <v>15</v>
      </c>
      <c r="E30">
        <v>89</v>
      </c>
      <c r="F30">
        <v>115</v>
      </c>
      <c r="G30">
        <f>('Employee Performance and Attend'!F30/'Employee Performance and Attend'!E30)*100</f>
        <v>129.21348314606743</v>
      </c>
      <c r="H30">
        <f t="shared" si="0"/>
        <v>68.181818181818173</v>
      </c>
      <c r="I30" t="str">
        <f t="shared" si="1"/>
        <v>Excellent</v>
      </c>
      <c r="J30" t="str">
        <f t="shared" si="2"/>
        <v>Poor</v>
      </c>
      <c r="K30">
        <f t="shared" si="3"/>
        <v>7</v>
      </c>
    </row>
    <row r="31" spans="1:11" x14ac:dyDescent="0.3">
      <c r="A31" t="s">
        <v>155</v>
      </c>
      <c r="B31" t="s">
        <v>156</v>
      </c>
      <c r="C31" t="s">
        <v>100</v>
      </c>
      <c r="D31">
        <v>15</v>
      </c>
      <c r="E31">
        <v>98</v>
      </c>
      <c r="F31">
        <v>122</v>
      </c>
      <c r="G31">
        <f>('Employee Performance and Attend'!F31/'Employee Performance and Attend'!E31)*100</f>
        <v>124.48979591836735</v>
      </c>
      <c r="H31">
        <f t="shared" si="0"/>
        <v>68.181818181818173</v>
      </c>
      <c r="I31" t="str">
        <f t="shared" si="1"/>
        <v>Excellent</v>
      </c>
      <c r="J31" t="str">
        <f t="shared" si="2"/>
        <v>Poor</v>
      </c>
      <c r="K31">
        <f t="shared" si="3"/>
        <v>7</v>
      </c>
    </row>
    <row r="32" spans="1:11" x14ac:dyDescent="0.3">
      <c r="A32" t="s">
        <v>157</v>
      </c>
      <c r="B32" t="s">
        <v>158</v>
      </c>
      <c r="C32" t="s">
        <v>112</v>
      </c>
      <c r="D32">
        <v>20</v>
      </c>
      <c r="E32">
        <v>96</v>
      </c>
      <c r="F32">
        <v>107</v>
      </c>
      <c r="G32">
        <f>('Employee Performance and Attend'!F32/'Employee Performance and Attend'!E32)*100</f>
        <v>111.45833333333333</v>
      </c>
      <c r="H32">
        <f t="shared" si="0"/>
        <v>90.909090909090907</v>
      </c>
      <c r="I32" t="str">
        <f t="shared" si="1"/>
        <v>Excellent</v>
      </c>
      <c r="J32" t="str">
        <f t="shared" si="2"/>
        <v>Satisfactory</v>
      </c>
      <c r="K32">
        <f t="shared" si="3"/>
        <v>2</v>
      </c>
    </row>
    <row r="33" spans="1:11" x14ac:dyDescent="0.3">
      <c r="A33" t="s">
        <v>159</v>
      </c>
      <c r="B33" t="s">
        <v>160</v>
      </c>
      <c r="C33" t="s">
        <v>103</v>
      </c>
      <c r="D33">
        <v>21</v>
      </c>
      <c r="E33">
        <v>100</v>
      </c>
      <c r="F33">
        <v>120</v>
      </c>
      <c r="G33">
        <f>('Employee Performance and Attend'!F33/'Employee Performance and Attend'!E33)*100</f>
        <v>120</v>
      </c>
      <c r="H33">
        <f t="shared" si="0"/>
        <v>95.454545454545453</v>
      </c>
      <c r="I33" t="str">
        <f t="shared" si="1"/>
        <v>Excellent</v>
      </c>
      <c r="J33" t="str">
        <f t="shared" si="2"/>
        <v>Excellent</v>
      </c>
      <c r="K33">
        <f t="shared" si="3"/>
        <v>1</v>
      </c>
    </row>
    <row r="34" spans="1:11" x14ac:dyDescent="0.3">
      <c r="A34" t="s">
        <v>161</v>
      </c>
      <c r="B34" t="s">
        <v>162</v>
      </c>
      <c r="C34" t="s">
        <v>97</v>
      </c>
      <c r="D34">
        <v>21</v>
      </c>
      <c r="E34">
        <v>93</v>
      </c>
      <c r="F34">
        <v>85</v>
      </c>
      <c r="G34">
        <f>('Employee Performance and Attend'!F34/'Employee Performance and Attend'!E34)*100</f>
        <v>91.397849462365585</v>
      </c>
      <c r="H34">
        <f t="shared" ref="H34:H65" si="4">D34/22*100</f>
        <v>95.454545454545453</v>
      </c>
      <c r="I34" t="str">
        <f t="shared" ref="I34:I65" si="5">IF(G34&gt;=100,"Excellent", IF(G34&gt;=90,"Good", IF(G34&gt;=80,"Needs Improvement","Underperformer")))</f>
        <v>Good</v>
      </c>
      <c r="J34" t="str">
        <f t="shared" ref="J34:J65" si="6">IF(H34&gt;=95,"Excellent", IF(H34&gt;=90,"Satisfactory","Poor"))</f>
        <v>Excellent</v>
      </c>
      <c r="K34">
        <f t="shared" si="3"/>
        <v>1</v>
      </c>
    </row>
    <row r="35" spans="1:11" x14ac:dyDescent="0.3">
      <c r="A35" t="s">
        <v>163</v>
      </c>
      <c r="B35" t="s">
        <v>164</v>
      </c>
      <c r="C35" t="s">
        <v>103</v>
      </c>
      <c r="D35">
        <v>15</v>
      </c>
      <c r="E35">
        <v>88</v>
      </c>
      <c r="F35">
        <v>95</v>
      </c>
      <c r="G35">
        <f>('Employee Performance and Attend'!F35/'Employee Performance and Attend'!E35)*100</f>
        <v>107.95454545454545</v>
      </c>
      <c r="H35">
        <f t="shared" si="4"/>
        <v>68.181818181818173</v>
      </c>
      <c r="I35" t="str">
        <f t="shared" si="5"/>
        <v>Excellent</v>
      </c>
      <c r="J35" t="str">
        <f t="shared" si="6"/>
        <v>Poor</v>
      </c>
      <c r="K35">
        <f t="shared" si="3"/>
        <v>7</v>
      </c>
    </row>
    <row r="36" spans="1:11" x14ac:dyDescent="0.3">
      <c r="A36" t="s">
        <v>165</v>
      </c>
      <c r="B36" t="s">
        <v>166</v>
      </c>
      <c r="C36" t="s">
        <v>112</v>
      </c>
      <c r="D36">
        <v>19</v>
      </c>
      <c r="E36">
        <v>80</v>
      </c>
      <c r="F36">
        <v>60</v>
      </c>
      <c r="G36">
        <f>('Employee Performance and Attend'!F36/'Employee Performance and Attend'!E36)*100</f>
        <v>75</v>
      </c>
      <c r="H36">
        <f t="shared" si="4"/>
        <v>86.36363636363636</v>
      </c>
      <c r="I36" t="str">
        <f t="shared" si="5"/>
        <v>Underperformer</v>
      </c>
      <c r="J36" t="str">
        <f t="shared" si="6"/>
        <v>Poor</v>
      </c>
      <c r="K36">
        <f t="shared" si="3"/>
        <v>3</v>
      </c>
    </row>
    <row r="37" spans="1:11" x14ac:dyDescent="0.3">
      <c r="A37" t="s">
        <v>167</v>
      </c>
      <c r="B37" t="s">
        <v>168</v>
      </c>
      <c r="C37" t="s">
        <v>100</v>
      </c>
      <c r="D37">
        <v>20</v>
      </c>
      <c r="E37">
        <v>92</v>
      </c>
      <c r="F37">
        <v>67</v>
      </c>
      <c r="G37">
        <f>('Employee Performance and Attend'!F37/'Employee Performance and Attend'!E37)*100</f>
        <v>72.826086956521735</v>
      </c>
      <c r="H37">
        <f t="shared" si="4"/>
        <v>90.909090909090907</v>
      </c>
      <c r="I37" t="str">
        <f t="shared" si="5"/>
        <v>Underperformer</v>
      </c>
      <c r="J37" t="str">
        <f t="shared" si="6"/>
        <v>Satisfactory</v>
      </c>
      <c r="K37">
        <f t="shared" si="3"/>
        <v>2</v>
      </c>
    </row>
    <row r="38" spans="1:11" x14ac:dyDescent="0.3">
      <c r="A38" t="s">
        <v>169</v>
      </c>
      <c r="B38" t="s">
        <v>170</v>
      </c>
      <c r="C38" t="s">
        <v>103</v>
      </c>
      <c r="D38">
        <v>20</v>
      </c>
      <c r="E38">
        <v>83</v>
      </c>
      <c r="F38">
        <v>111</v>
      </c>
      <c r="G38">
        <f>('Employee Performance and Attend'!F38/'Employee Performance and Attend'!E38)*100</f>
        <v>133.73493975903614</v>
      </c>
      <c r="H38">
        <f t="shared" si="4"/>
        <v>90.909090909090907</v>
      </c>
      <c r="I38" t="str">
        <f t="shared" si="5"/>
        <v>Excellent</v>
      </c>
      <c r="J38" t="str">
        <f t="shared" si="6"/>
        <v>Satisfactory</v>
      </c>
      <c r="K38">
        <f t="shared" si="3"/>
        <v>2</v>
      </c>
    </row>
    <row r="39" spans="1:11" x14ac:dyDescent="0.3">
      <c r="A39" t="s">
        <v>171</v>
      </c>
      <c r="B39" t="s">
        <v>172</v>
      </c>
      <c r="C39" t="s">
        <v>100</v>
      </c>
      <c r="D39">
        <v>17</v>
      </c>
      <c r="E39">
        <v>80</v>
      </c>
      <c r="F39">
        <v>106</v>
      </c>
      <c r="G39">
        <f>('Employee Performance and Attend'!F39/'Employee Performance and Attend'!E39)*100</f>
        <v>132.5</v>
      </c>
      <c r="H39">
        <f t="shared" si="4"/>
        <v>77.272727272727266</v>
      </c>
      <c r="I39" t="str">
        <f t="shared" si="5"/>
        <v>Excellent</v>
      </c>
      <c r="J39" t="str">
        <f t="shared" si="6"/>
        <v>Poor</v>
      </c>
      <c r="K39">
        <f t="shared" si="3"/>
        <v>5</v>
      </c>
    </row>
    <row r="40" spans="1:11" x14ac:dyDescent="0.3">
      <c r="A40" t="s">
        <v>173</v>
      </c>
      <c r="B40" t="s">
        <v>174</v>
      </c>
      <c r="C40" t="s">
        <v>97</v>
      </c>
      <c r="D40">
        <v>22</v>
      </c>
      <c r="E40">
        <v>119</v>
      </c>
      <c r="F40">
        <v>115</v>
      </c>
      <c r="G40">
        <f>('Employee Performance and Attend'!F40/'Employee Performance and Attend'!E40)*100</f>
        <v>96.638655462184872</v>
      </c>
      <c r="H40">
        <f t="shared" si="4"/>
        <v>100</v>
      </c>
      <c r="I40" t="str">
        <f t="shared" si="5"/>
        <v>Good</v>
      </c>
      <c r="J40" t="str">
        <f t="shared" si="6"/>
        <v>Excellent</v>
      </c>
      <c r="K40">
        <f t="shared" si="3"/>
        <v>0</v>
      </c>
    </row>
    <row r="41" spans="1:11" x14ac:dyDescent="0.3">
      <c r="A41" t="s">
        <v>175</v>
      </c>
      <c r="B41" t="s">
        <v>176</v>
      </c>
      <c r="C41" t="s">
        <v>100</v>
      </c>
      <c r="D41">
        <v>21</v>
      </c>
      <c r="E41">
        <v>111</v>
      </c>
      <c r="F41">
        <v>73</v>
      </c>
      <c r="G41">
        <f>('Employee Performance and Attend'!F41/'Employee Performance and Attend'!E41)*100</f>
        <v>65.765765765765778</v>
      </c>
      <c r="H41">
        <f t="shared" si="4"/>
        <v>95.454545454545453</v>
      </c>
      <c r="I41" t="str">
        <f t="shared" si="5"/>
        <v>Underperformer</v>
      </c>
      <c r="J41" t="str">
        <f t="shared" si="6"/>
        <v>Excellent</v>
      </c>
      <c r="K41">
        <f t="shared" si="3"/>
        <v>1</v>
      </c>
    </row>
    <row r="42" spans="1:11" x14ac:dyDescent="0.3">
      <c r="A42" t="s">
        <v>177</v>
      </c>
      <c r="B42" t="s">
        <v>178</v>
      </c>
      <c r="C42" t="s">
        <v>100</v>
      </c>
      <c r="D42">
        <v>15</v>
      </c>
      <c r="E42">
        <v>113</v>
      </c>
      <c r="F42">
        <v>87</v>
      </c>
      <c r="G42">
        <f>('Employee Performance and Attend'!F42/'Employee Performance and Attend'!E42)*100</f>
        <v>76.991150442477874</v>
      </c>
      <c r="H42">
        <f t="shared" si="4"/>
        <v>68.181818181818173</v>
      </c>
      <c r="I42" t="str">
        <f t="shared" si="5"/>
        <v>Underperformer</v>
      </c>
      <c r="J42" t="str">
        <f t="shared" si="6"/>
        <v>Poor</v>
      </c>
      <c r="K42">
        <f t="shared" si="3"/>
        <v>7</v>
      </c>
    </row>
    <row r="43" spans="1:11" x14ac:dyDescent="0.3">
      <c r="A43" t="s">
        <v>179</v>
      </c>
      <c r="B43" t="s">
        <v>180</v>
      </c>
      <c r="C43" t="s">
        <v>94</v>
      </c>
      <c r="D43">
        <v>17</v>
      </c>
      <c r="E43">
        <v>107</v>
      </c>
      <c r="F43">
        <v>61</v>
      </c>
      <c r="G43">
        <f>('Employee Performance and Attend'!F43/'Employee Performance and Attend'!E43)*100</f>
        <v>57.009345794392516</v>
      </c>
      <c r="H43">
        <f t="shared" si="4"/>
        <v>77.272727272727266</v>
      </c>
      <c r="I43" t="str">
        <f t="shared" si="5"/>
        <v>Underperformer</v>
      </c>
      <c r="J43" t="str">
        <f t="shared" si="6"/>
        <v>Poor</v>
      </c>
      <c r="K43">
        <f t="shared" si="3"/>
        <v>5</v>
      </c>
    </row>
    <row r="44" spans="1:11" x14ac:dyDescent="0.3">
      <c r="A44" t="s">
        <v>181</v>
      </c>
      <c r="B44" t="s">
        <v>182</v>
      </c>
      <c r="C44" t="s">
        <v>94</v>
      </c>
      <c r="D44">
        <v>18</v>
      </c>
      <c r="E44">
        <v>110</v>
      </c>
      <c r="F44">
        <v>85</v>
      </c>
      <c r="G44">
        <f>('Employee Performance and Attend'!F44/'Employee Performance and Attend'!E44)*100</f>
        <v>77.272727272727266</v>
      </c>
      <c r="H44">
        <f t="shared" si="4"/>
        <v>81.818181818181827</v>
      </c>
      <c r="I44" t="str">
        <f t="shared" si="5"/>
        <v>Underperformer</v>
      </c>
      <c r="J44" t="str">
        <f t="shared" si="6"/>
        <v>Poor</v>
      </c>
      <c r="K44">
        <f t="shared" si="3"/>
        <v>4</v>
      </c>
    </row>
    <row r="45" spans="1:11" x14ac:dyDescent="0.3">
      <c r="A45" t="s">
        <v>183</v>
      </c>
      <c r="B45" t="s">
        <v>184</v>
      </c>
      <c r="C45" t="s">
        <v>94</v>
      </c>
      <c r="D45">
        <v>16</v>
      </c>
      <c r="E45">
        <v>87</v>
      </c>
      <c r="F45">
        <v>73</v>
      </c>
      <c r="G45">
        <f>('Employee Performance and Attend'!F45/'Employee Performance and Attend'!E45)*100</f>
        <v>83.908045977011497</v>
      </c>
      <c r="H45">
        <f t="shared" si="4"/>
        <v>72.727272727272734</v>
      </c>
      <c r="I45" t="str">
        <f t="shared" si="5"/>
        <v>Needs Improvement</v>
      </c>
      <c r="J45" t="str">
        <f t="shared" si="6"/>
        <v>Poor</v>
      </c>
      <c r="K45">
        <f t="shared" si="3"/>
        <v>6</v>
      </c>
    </row>
    <row r="46" spans="1:11" x14ac:dyDescent="0.3">
      <c r="A46" t="s">
        <v>185</v>
      </c>
      <c r="B46" t="s">
        <v>186</v>
      </c>
      <c r="C46" t="s">
        <v>100</v>
      </c>
      <c r="D46">
        <v>22</v>
      </c>
      <c r="E46">
        <v>118</v>
      </c>
      <c r="F46">
        <v>118</v>
      </c>
      <c r="G46">
        <f>('Employee Performance and Attend'!F46/'Employee Performance and Attend'!E46)*100</f>
        <v>100</v>
      </c>
      <c r="H46">
        <f t="shared" si="4"/>
        <v>100</v>
      </c>
      <c r="I46" t="str">
        <f t="shared" si="5"/>
        <v>Excellent</v>
      </c>
      <c r="J46" t="str">
        <f t="shared" si="6"/>
        <v>Excellent</v>
      </c>
      <c r="K46">
        <f t="shared" si="3"/>
        <v>0</v>
      </c>
    </row>
    <row r="47" spans="1:11" x14ac:dyDescent="0.3">
      <c r="A47" t="s">
        <v>187</v>
      </c>
      <c r="B47" t="s">
        <v>188</v>
      </c>
      <c r="C47" t="s">
        <v>112</v>
      </c>
      <c r="D47">
        <v>22</v>
      </c>
      <c r="E47">
        <v>105</v>
      </c>
      <c r="F47">
        <v>115</v>
      </c>
      <c r="G47">
        <f>('Employee Performance and Attend'!F47/'Employee Performance and Attend'!E47)*100</f>
        <v>109.52380952380953</v>
      </c>
      <c r="H47">
        <f t="shared" si="4"/>
        <v>100</v>
      </c>
      <c r="I47" t="str">
        <f t="shared" si="5"/>
        <v>Excellent</v>
      </c>
      <c r="J47" t="str">
        <f t="shared" si="6"/>
        <v>Excellent</v>
      </c>
      <c r="K47">
        <f t="shared" si="3"/>
        <v>0</v>
      </c>
    </row>
    <row r="48" spans="1:11" x14ac:dyDescent="0.3">
      <c r="A48" t="s">
        <v>189</v>
      </c>
      <c r="B48" t="s">
        <v>190</v>
      </c>
      <c r="C48" t="s">
        <v>100</v>
      </c>
      <c r="D48">
        <v>22</v>
      </c>
      <c r="E48">
        <v>113</v>
      </c>
      <c r="F48">
        <v>66</v>
      </c>
      <c r="G48">
        <f>('Employee Performance and Attend'!F48/'Employee Performance and Attend'!E48)*100</f>
        <v>58.407079646017699</v>
      </c>
      <c r="H48">
        <f t="shared" si="4"/>
        <v>100</v>
      </c>
      <c r="I48" t="str">
        <f t="shared" si="5"/>
        <v>Underperformer</v>
      </c>
      <c r="J48" t="str">
        <f t="shared" si="6"/>
        <v>Excellent</v>
      </c>
      <c r="K48">
        <f t="shared" si="3"/>
        <v>0</v>
      </c>
    </row>
    <row r="49" spans="1:11" x14ac:dyDescent="0.3">
      <c r="A49" t="s">
        <v>191</v>
      </c>
      <c r="B49" t="s">
        <v>192</v>
      </c>
      <c r="C49" t="s">
        <v>112</v>
      </c>
      <c r="D49">
        <v>20</v>
      </c>
      <c r="E49">
        <v>82</v>
      </c>
      <c r="F49">
        <v>62</v>
      </c>
      <c r="G49">
        <f>('Employee Performance and Attend'!F49/'Employee Performance and Attend'!E49)*100</f>
        <v>75.609756097560975</v>
      </c>
      <c r="H49">
        <f t="shared" si="4"/>
        <v>90.909090909090907</v>
      </c>
      <c r="I49" t="str">
        <f t="shared" si="5"/>
        <v>Underperformer</v>
      </c>
      <c r="J49" t="str">
        <f t="shared" si="6"/>
        <v>Satisfactory</v>
      </c>
      <c r="K49">
        <f t="shared" si="3"/>
        <v>2</v>
      </c>
    </row>
    <row r="50" spans="1:11" x14ac:dyDescent="0.3">
      <c r="A50" t="s">
        <v>193</v>
      </c>
      <c r="B50" t="s">
        <v>194</v>
      </c>
      <c r="C50" t="s">
        <v>112</v>
      </c>
      <c r="D50">
        <v>18</v>
      </c>
      <c r="E50">
        <v>91</v>
      </c>
      <c r="F50">
        <v>82</v>
      </c>
      <c r="G50">
        <f>('Employee Performance and Attend'!F50/'Employee Performance and Attend'!E50)*100</f>
        <v>90.109890109890117</v>
      </c>
      <c r="H50">
        <f t="shared" si="4"/>
        <v>81.818181818181827</v>
      </c>
      <c r="I50" t="str">
        <f t="shared" si="5"/>
        <v>Good</v>
      </c>
      <c r="J50" t="str">
        <f t="shared" si="6"/>
        <v>Poor</v>
      </c>
      <c r="K50">
        <f t="shared" si="3"/>
        <v>4</v>
      </c>
    </row>
    <row r="51" spans="1:11" x14ac:dyDescent="0.3">
      <c r="A51" t="s">
        <v>195</v>
      </c>
      <c r="B51" t="s">
        <v>196</v>
      </c>
      <c r="C51" t="s">
        <v>94</v>
      </c>
      <c r="D51">
        <v>22</v>
      </c>
      <c r="E51">
        <v>80</v>
      </c>
      <c r="F51">
        <v>77</v>
      </c>
      <c r="G51">
        <f>('Employee Performance and Attend'!F51/'Employee Performance and Attend'!E51)*100</f>
        <v>96.25</v>
      </c>
      <c r="H51">
        <f t="shared" si="4"/>
        <v>100</v>
      </c>
      <c r="I51" t="str">
        <f t="shared" si="5"/>
        <v>Good</v>
      </c>
      <c r="J51" t="str">
        <f t="shared" si="6"/>
        <v>Excellent</v>
      </c>
      <c r="K51">
        <f t="shared" si="3"/>
        <v>0</v>
      </c>
    </row>
    <row r="52" spans="1:11" x14ac:dyDescent="0.3">
      <c r="A52" t="s">
        <v>197</v>
      </c>
      <c r="B52" t="s">
        <v>198</v>
      </c>
      <c r="C52" t="s">
        <v>103</v>
      </c>
      <c r="D52">
        <v>18</v>
      </c>
      <c r="E52">
        <v>84</v>
      </c>
      <c r="F52">
        <v>97</v>
      </c>
      <c r="G52">
        <f>('Employee Performance and Attend'!F52/'Employee Performance and Attend'!E52)*100</f>
        <v>115.47619047619047</v>
      </c>
      <c r="H52">
        <f t="shared" si="4"/>
        <v>81.818181818181827</v>
      </c>
      <c r="I52" t="str">
        <f t="shared" si="5"/>
        <v>Excellent</v>
      </c>
      <c r="J52" t="str">
        <f t="shared" si="6"/>
        <v>Poor</v>
      </c>
      <c r="K52">
        <f t="shared" si="3"/>
        <v>4</v>
      </c>
    </row>
    <row r="53" spans="1:11" x14ac:dyDescent="0.3">
      <c r="A53" t="s">
        <v>199</v>
      </c>
      <c r="B53" t="s">
        <v>200</v>
      </c>
      <c r="C53" t="s">
        <v>97</v>
      </c>
      <c r="D53">
        <v>19</v>
      </c>
      <c r="E53">
        <v>109</v>
      </c>
      <c r="F53">
        <v>74</v>
      </c>
      <c r="G53">
        <f>('Employee Performance and Attend'!F53/'Employee Performance and Attend'!E53)*100</f>
        <v>67.889908256880744</v>
      </c>
      <c r="H53">
        <f t="shared" si="4"/>
        <v>86.36363636363636</v>
      </c>
      <c r="I53" t="str">
        <f t="shared" si="5"/>
        <v>Underperformer</v>
      </c>
      <c r="J53" t="str">
        <f t="shared" si="6"/>
        <v>Poor</v>
      </c>
      <c r="K53">
        <f t="shared" si="3"/>
        <v>3</v>
      </c>
    </row>
    <row r="54" spans="1:11" x14ac:dyDescent="0.3">
      <c r="A54" t="s">
        <v>201</v>
      </c>
      <c r="B54" t="s">
        <v>202</v>
      </c>
      <c r="C54" t="s">
        <v>94</v>
      </c>
      <c r="D54">
        <v>22</v>
      </c>
      <c r="E54">
        <v>109</v>
      </c>
      <c r="F54">
        <v>123</v>
      </c>
      <c r="G54">
        <f>('Employee Performance and Attend'!F54/'Employee Performance and Attend'!E54)*100</f>
        <v>112.8440366972477</v>
      </c>
      <c r="H54">
        <f t="shared" si="4"/>
        <v>100</v>
      </c>
      <c r="I54" t="str">
        <f t="shared" si="5"/>
        <v>Excellent</v>
      </c>
      <c r="J54" t="str">
        <f t="shared" si="6"/>
        <v>Excellent</v>
      </c>
      <c r="K54">
        <f t="shared" si="3"/>
        <v>0</v>
      </c>
    </row>
    <row r="55" spans="1:11" x14ac:dyDescent="0.3">
      <c r="A55" t="s">
        <v>203</v>
      </c>
      <c r="B55" t="s">
        <v>204</v>
      </c>
      <c r="C55" t="s">
        <v>94</v>
      </c>
      <c r="D55">
        <v>16</v>
      </c>
      <c r="E55">
        <v>96</v>
      </c>
      <c r="F55">
        <v>87</v>
      </c>
      <c r="G55">
        <f>('Employee Performance and Attend'!F55/'Employee Performance and Attend'!E55)*100</f>
        <v>90.625</v>
      </c>
      <c r="H55">
        <f t="shared" si="4"/>
        <v>72.727272727272734</v>
      </c>
      <c r="I55" t="str">
        <f t="shared" si="5"/>
        <v>Good</v>
      </c>
      <c r="J55" t="str">
        <f t="shared" si="6"/>
        <v>Poor</v>
      </c>
      <c r="K55">
        <f t="shared" si="3"/>
        <v>6</v>
      </c>
    </row>
    <row r="56" spans="1:11" x14ac:dyDescent="0.3">
      <c r="A56" t="s">
        <v>205</v>
      </c>
      <c r="B56" t="s">
        <v>206</v>
      </c>
      <c r="C56" t="s">
        <v>103</v>
      </c>
      <c r="D56">
        <v>18</v>
      </c>
      <c r="E56">
        <v>102</v>
      </c>
      <c r="F56">
        <v>98</v>
      </c>
      <c r="G56">
        <f>('Employee Performance and Attend'!F56/'Employee Performance and Attend'!E56)*100</f>
        <v>96.078431372549019</v>
      </c>
      <c r="H56">
        <f t="shared" si="4"/>
        <v>81.818181818181827</v>
      </c>
      <c r="I56" t="str">
        <f t="shared" si="5"/>
        <v>Good</v>
      </c>
      <c r="J56" t="str">
        <f t="shared" si="6"/>
        <v>Poor</v>
      </c>
      <c r="K56">
        <f t="shared" si="3"/>
        <v>4</v>
      </c>
    </row>
    <row r="57" spans="1:11" x14ac:dyDescent="0.3">
      <c r="A57" t="s">
        <v>207</v>
      </c>
      <c r="B57" t="s">
        <v>208</v>
      </c>
      <c r="C57" t="s">
        <v>97</v>
      </c>
      <c r="D57">
        <v>18</v>
      </c>
      <c r="E57">
        <v>94</v>
      </c>
      <c r="F57">
        <v>116</v>
      </c>
      <c r="G57">
        <f>('Employee Performance and Attend'!F57/'Employee Performance and Attend'!E57)*100</f>
        <v>123.40425531914893</v>
      </c>
      <c r="H57">
        <f t="shared" si="4"/>
        <v>81.818181818181827</v>
      </c>
      <c r="I57" t="str">
        <f t="shared" si="5"/>
        <v>Excellent</v>
      </c>
      <c r="J57" t="str">
        <f t="shared" si="6"/>
        <v>Poor</v>
      </c>
      <c r="K57">
        <f t="shared" si="3"/>
        <v>4</v>
      </c>
    </row>
    <row r="58" spans="1:11" x14ac:dyDescent="0.3">
      <c r="A58" t="s">
        <v>209</v>
      </c>
      <c r="B58" t="s">
        <v>210</v>
      </c>
      <c r="C58" t="s">
        <v>100</v>
      </c>
      <c r="D58">
        <v>16</v>
      </c>
      <c r="E58">
        <v>116</v>
      </c>
      <c r="F58">
        <v>76</v>
      </c>
      <c r="G58">
        <f>('Employee Performance and Attend'!F58/'Employee Performance and Attend'!E58)*100</f>
        <v>65.517241379310349</v>
      </c>
      <c r="H58">
        <f t="shared" si="4"/>
        <v>72.727272727272734</v>
      </c>
      <c r="I58" t="str">
        <f t="shared" si="5"/>
        <v>Underperformer</v>
      </c>
      <c r="J58" t="str">
        <f t="shared" si="6"/>
        <v>Poor</v>
      </c>
      <c r="K58">
        <f t="shared" si="3"/>
        <v>6</v>
      </c>
    </row>
    <row r="59" spans="1:11" x14ac:dyDescent="0.3">
      <c r="A59" t="s">
        <v>211</v>
      </c>
      <c r="B59" t="s">
        <v>212</v>
      </c>
      <c r="C59" t="s">
        <v>100</v>
      </c>
      <c r="D59">
        <v>22</v>
      </c>
      <c r="E59">
        <v>100</v>
      </c>
      <c r="F59">
        <v>103</v>
      </c>
      <c r="G59">
        <f>('Employee Performance and Attend'!F59/'Employee Performance and Attend'!E59)*100</f>
        <v>103</v>
      </c>
      <c r="H59">
        <f t="shared" si="4"/>
        <v>100</v>
      </c>
      <c r="I59" t="str">
        <f t="shared" si="5"/>
        <v>Excellent</v>
      </c>
      <c r="J59" t="str">
        <f t="shared" si="6"/>
        <v>Excellent</v>
      </c>
      <c r="K59">
        <f t="shared" si="3"/>
        <v>0</v>
      </c>
    </row>
    <row r="60" spans="1:11" x14ac:dyDescent="0.3">
      <c r="A60" t="s">
        <v>213</v>
      </c>
      <c r="B60" t="s">
        <v>214</v>
      </c>
      <c r="C60" t="s">
        <v>94</v>
      </c>
      <c r="D60">
        <v>16</v>
      </c>
      <c r="E60">
        <v>93</v>
      </c>
      <c r="F60">
        <v>84</v>
      </c>
      <c r="G60">
        <f>('Employee Performance and Attend'!F60/'Employee Performance and Attend'!E60)*100</f>
        <v>90.322580645161281</v>
      </c>
      <c r="H60">
        <f t="shared" si="4"/>
        <v>72.727272727272734</v>
      </c>
      <c r="I60" t="str">
        <f t="shared" si="5"/>
        <v>Good</v>
      </c>
      <c r="J60" t="str">
        <f t="shared" si="6"/>
        <v>Poor</v>
      </c>
      <c r="K60">
        <f t="shared" si="3"/>
        <v>6</v>
      </c>
    </row>
    <row r="61" spans="1:11" x14ac:dyDescent="0.3">
      <c r="A61" t="s">
        <v>215</v>
      </c>
      <c r="B61" t="s">
        <v>216</v>
      </c>
      <c r="C61" t="s">
        <v>97</v>
      </c>
      <c r="D61">
        <v>18</v>
      </c>
      <c r="E61">
        <v>81</v>
      </c>
      <c r="F61">
        <v>76</v>
      </c>
      <c r="G61">
        <f>('Employee Performance and Attend'!F61/'Employee Performance and Attend'!E61)*100</f>
        <v>93.827160493827151</v>
      </c>
      <c r="H61">
        <f t="shared" si="4"/>
        <v>81.818181818181827</v>
      </c>
      <c r="I61" t="str">
        <f t="shared" si="5"/>
        <v>Good</v>
      </c>
      <c r="J61" t="str">
        <f t="shared" si="6"/>
        <v>Poor</v>
      </c>
      <c r="K61">
        <f t="shared" si="3"/>
        <v>4</v>
      </c>
    </row>
    <row r="62" spans="1:11" x14ac:dyDescent="0.3">
      <c r="A62" t="s">
        <v>217</v>
      </c>
      <c r="B62" t="s">
        <v>218</v>
      </c>
      <c r="C62" t="s">
        <v>94</v>
      </c>
      <c r="D62">
        <v>16</v>
      </c>
      <c r="E62">
        <v>90</v>
      </c>
      <c r="F62">
        <v>72</v>
      </c>
      <c r="G62">
        <f>('Employee Performance and Attend'!F62/'Employee Performance and Attend'!E62)*100</f>
        <v>80</v>
      </c>
      <c r="H62">
        <f t="shared" si="4"/>
        <v>72.727272727272734</v>
      </c>
      <c r="I62" t="str">
        <f t="shared" si="5"/>
        <v>Needs Improvement</v>
      </c>
      <c r="J62" t="str">
        <f t="shared" si="6"/>
        <v>Poor</v>
      </c>
      <c r="K62">
        <f t="shared" si="3"/>
        <v>6</v>
      </c>
    </row>
    <row r="63" spans="1:11" x14ac:dyDescent="0.3">
      <c r="A63" t="s">
        <v>219</v>
      </c>
      <c r="B63" t="s">
        <v>220</v>
      </c>
      <c r="C63" t="s">
        <v>112</v>
      </c>
      <c r="D63">
        <v>18</v>
      </c>
      <c r="E63">
        <v>118</v>
      </c>
      <c r="F63">
        <v>84</v>
      </c>
      <c r="G63">
        <f>('Employee Performance and Attend'!F63/'Employee Performance and Attend'!E63)*100</f>
        <v>71.186440677966104</v>
      </c>
      <c r="H63">
        <f t="shared" si="4"/>
        <v>81.818181818181827</v>
      </c>
      <c r="I63" t="str">
        <f t="shared" si="5"/>
        <v>Underperformer</v>
      </c>
      <c r="J63" t="str">
        <f t="shared" si="6"/>
        <v>Poor</v>
      </c>
      <c r="K63">
        <f t="shared" si="3"/>
        <v>4</v>
      </c>
    </row>
    <row r="64" spans="1:11" x14ac:dyDescent="0.3">
      <c r="A64" t="s">
        <v>221</v>
      </c>
      <c r="B64" t="s">
        <v>222</v>
      </c>
      <c r="C64" t="s">
        <v>94</v>
      </c>
      <c r="D64">
        <v>18</v>
      </c>
      <c r="E64">
        <v>117</v>
      </c>
      <c r="F64">
        <v>127</v>
      </c>
      <c r="G64">
        <f>('Employee Performance and Attend'!F64/'Employee Performance and Attend'!E64)*100</f>
        <v>108.54700854700855</v>
      </c>
      <c r="H64">
        <f t="shared" si="4"/>
        <v>81.818181818181827</v>
      </c>
      <c r="I64" t="str">
        <f t="shared" si="5"/>
        <v>Excellent</v>
      </c>
      <c r="J64" t="str">
        <f t="shared" si="6"/>
        <v>Poor</v>
      </c>
      <c r="K64">
        <f t="shared" si="3"/>
        <v>4</v>
      </c>
    </row>
    <row r="65" spans="1:11" x14ac:dyDescent="0.3">
      <c r="A65" t="s">
        <v>223</v>
      </c>
      <c r="B65" t="s">
        <v>224</v>
      </c>
      <c r="C65" t="s">
        <v>94</v>
      </c>
      <c r="D65">
        <v>19</v>
      </c>
      <c r="E65">
        <v>113</v>
      </c>
      <c r="F65">
        <v>69</v>
      </c>
      <c r="G65">
        <f>('Employee Performance and Attend'!F65/'Employee Performance and Attend'!E65)*100</f>
        <v>61.06194690265486</v>
      </c>
      <c r="H65">
        <f t="shared" si="4"/>
        <v>86.36363636363636</v>
      </c>
      <c r="I65" t="str">
        <f t="shared" si="5"/>
        <v>Underperformer</v>
      </c>
      <c r="J65" t="str">
        <f t="shared" si="6"/>
        <v>Poor</v>
      </c>
      <c r="K65">
        <f t="shared" si="3"/>
        <v>3</v>
      </c>
    </row>
    <row r="66" spans="1:11" x14ac:dyDescent="0.3">
      <c r="A66" t="s">
        <v>225</v>
      </c>
      <c r="B66" t="s">
        <v>226</v>
      </c>
      <c r="C66" t="s">
        <v>100</v>
      </c>
      <c r="D66">
        <v>15</v>
      </c>
      <c r="E66">
        <v>117</v>
      </c>
      <c r="F66">
        <v>126</v>
      </c>
      <c r="G66">
        <f>('Employee Performance and Attend'!F66/'Employee Performance and Attend'!E66)*100</f>
        <v>107.69230769230769</v>
      </c>
      <c r="H66">
        <f t="shared" ref="H66:H101" si="7">D66/22*100</f>
        <v>68.181818181818173</v>
      </c>
      <c r="I66" t="str">
        <f t="shared" ref="I66:I101" si="8">IF(G66&gt;=100,"Excellent", IF(G66&gt;=90,"Good", IF(G66&gt;=80,"Needs Improvement","Underperformer")))</f>
        <v>Excellent</v>
      </c>
      <c r="J66" t="str">
        <f t="shared" ref="J66:J101" si="9">IF(H66&gt;=95,"Excellent", IF(H66&gt;=90,"Satisfactory","Poor"))</f>
        <v>Poor</v>
      </c>
      <c r="K66">
        <f t="shared" si="3"/>
        <v>7</v>
      </c>
    </row>
    <row r="67" spans="1:11" x14ac:dyDescent="0.3">
      <c r="A67" t="s">
        <v>227</v>
      </c>
      <c r="B67" t="s">
        <v>228</v>
      </c>
      <c r="C67" t="s">
        <v>100</v>
      </c>
      <c r="D67">
        <v>18</v>
      </c>
      <c r="E67">
        <v>113</v>
      </c>
      <c r="F67">
        <v>77</v>
      </c>
      <c r="G67">
        <f>('Employee Performance and Attend'!F67/'Employee Performance and Attend'!E67)*100</f>
        <v>68.141592920353972</v>
      </c>
      <c r="H67">
        <f t="shared" si="7"/>
        <v>81.818181818181827</v>
      </c>
      <c r="I67" t="str">
        <f t="shared" si="8"/>
        <v>Underperformer</v>
      </c>
      <c r="J67" t="str">
        <f t="shared" si="9"/>
        <v>Poor</v>
      </c>
      <c r="K67">
        <f t="shared" ref="K67:K101" si="10">22-D67</f>
        <v>4</v>
      </c>
    </row>
    <row r="68" spans="1:11" x14ac:dyDescent="0.3">
      <c r="A68" t="s">
        <v>229</v>
      </c>
      <c r="B68" t="s">
        <v>230</v>
      </c>
      <c r="C68" t="s">
        <v>100</v>
      </c>
      <c r="D68">
        <v>22</v>
      </c>
      <c r="E68">
        <v>97</v>
      </c>
      <c r="F68">
        <v>93</v>
      </c>
      <c r="G68">
        <f>('Employee Performance and Attend'!F68/'Employee Performance and Attend'!E68)*100</f>
        <v>95.876288659793815</v>
      </c>
      <c r="H68">
        <f t="shared" si="7"/>
        <v>100</v>
      </c>
      <c r="I68" t="str">
        <f t="shared" si="8"/>
        <v>Good</v>
      </c>
      <c r="J68" t="str">
        <f t="shared" si="9"/>
        <v>Excellent</v>
      </c>
      <c r="K68">
        <f t="shared" si="10"/>
        <v>0</v>
      </c>
    </row>
    <row r="69" spans="1:11" x14ac:dyDescent="0.3">
      <c r="A69" t="s">
        <v>231</v>
      </c>
      <c r="B69" t="s">
        <v>232</v>
      </c>
      <c r="C69" t="s">
        <v>112</v>
      </c>
      <c r="D69">
        <v>17</v>
      </c>
      <c r="E69">
        <v>109</v>
      </c>
      <c r="F69">
        <v>67</v>
      </c>
      <c r="G69">
        <f>('Employee Performance and Attend'!F69/'Employee Performance and Attend'!E69)*100</f>
        <v>61.467889908256879</v>
      </c>
      <c r="H69">
        <f t="shared" si="7"/>
        <v>77.272727272727266</v>
      </c>
      <c r="I69" t="str">
        <f t="shared" si="8"/>
        <v>Underperformer</v>
      </c>
      <c r="J69" t="str">
        <f t="shared" si="9"/>
        <v>Poor</v>
      </c>
      <c r="K69">
        <f t="shared" si="10"/>
        <v>5</v>
      </c>
    </row>
    <row r="70" spans="1:11" x14ac:dyDescent="0.3">
      <c r="A70" t="s">
        <v>233</v>
      </c>
      <c r="B70" t="s">
        <v>234</v>
      </c>
      <c r="C70" t="s">
        <v>100</v>
      </c>
      <c r="D70">
        <v>20</v>
      </c>
      <c r="E70">
        <v>94</v>
      </c>
      <c r="F70">
        <v>99</v>
      </c>
      <c r="G70">
        <f>('Employee Performance and Attend'!F70/'Employee Performance and Attend'!E70)*100</f>
        <v>105.31914893617021</v>
      </c>
      <c r="H70">
        <f t="shared" si="7"/>
        <v>90.909090909090907</v>
      </c>
      <c r="I70" t="str">
        <f t="shared" si="8"/>
        <v>Excellent</v>
      </c>
      <c r="J70" t="str">
        <f t="shared" si="9"/>
        <v>Satisfactory</v>
      </c>
      <c r="K70">
        <f t="shared" si="10"/>
        <v>2</v>
      </c>
    </row>
    <row r="71" spans="1:11" x14ac:dyDescent="0.3">
      <c r="A71" t="s">
        <v>235</v>
      </c>
      <c r="B71" t="s">
        <v>236</v>
      </c>
      <c r="C71" t="s">
        <v>97</v>
      </c>
      <c r="D71">
        <v>21</v>
      </c>
      <c r="E71">
        <v>106</v>
      </c>
      <c r="F71">
        <v>101</v>
      </c>
      <c r="G71">
        <f>('Employee Performance and Attend'!F71/'Employee Performance and Attend'!E71)*100</f>
        <v>95.283018867924525</v>
      </c>
      <c r="H71">
        <f t="shared" si="7"/>
        <v>95.454545454545453</v>
      </c>
      <c r="I71" t="str">
        <f t="shared" si="8"/>
        <v>Good</v>
      </c>
      <c r="J71" t="str">
        <f t="shared" si="9"/>
        <v>Excellent</v>
      </c>
      <c r="K71">
        <f t="shared" si="10"/>
        <v>1</v>
      </c>
    </row>
    <row r="72" spans="1:11" x14ac:dyDescent="0.3">
      <c r="A72" t="s">
        <v>237</v>
      </c>
      <c r="B72" t="s">
        <v>238</v>
      </c>
      <c r="C72" t="s">
        <v>103</v>
      </c>
      <c r="D72">
        <v>15</v>
      </c>
      <c r="E72">
        <v>113</v>
      </c>
      <c r="F72">
        <v>100</v>
      </c>
      <c r="G72">
        <f>('Employee Performance and Attend'!F72/'Employee Performance and Attend'!E72)*100</f>
        <v>88.495575221238937</v>
      </c>
      <c r="H72">
        <f t="shared" si="7"/>
        <v>68.181818181818173</v>
      </c>
      <c r="I72" t="str">
        <f t="shared" si="8"/>
        <v>Needs Improvement</v>
      </c>
      <c r="J72" t="str">
        <f t="shared" si="9"/>
        <v>Poor</v>
      </c>
      <c r="K72">
        <f t="shared" si="10"/>
        <v>7</v>
      </c>
    </row>
    <row r="73" spans="1:11" x14ac:dyDescent="0.3">
      <c r="A73" t="s">
        <v>239</v>
      </c>
      <c r="B73" t="s">
        <v>240</v>
      </c>
      <c r="C73" t="s">
        <v>97</v>
      </c>
      <c r="D73">
        <v>15</v>
      </c>
      <c r="E73">
        <v>117</v>
      </c>
      <c r="F73">
        <v>65</v>
      </c>
      <c r="G73">
        <f>('Employee Performance and Attend'!F73/'Employee Performance and Attend'!E73)*100</f>
        <v>55.555555555555557</v>
      </c>
      <c r="H73">
        <f t="shared" si="7"/>
        <v>68.181818181818173</v>
      </c>
      <c r="I73" t="str">
        <f t="shared" si="8"/>
        <v>Underperformer</v>
      </c>
      <c r="J73" t="str">
        <f t="shared" si="9"/>
        <v>Poor</v>
      </c>
      <c r="K73">
        <f t="shared" si="10"/>
        <v>7</v>
      </c>
    </row>
    <row r="74" spans="1:11" x14ac:dyDescent="0.3">
      <c r="A74" t="s">
        <v>241</v>
      </c>
      <c r="B74" t="s">
        <v>242</v>
      </c>
      <c r="C74" t="s">
        <v>97</v>
      </c>
      <c r="D74">
        <v>15</v>
      </c>
      <c r="E74">
        <v>112</v>
      </c>
      <c r="F74">
        <v>111</v>
      </c>
      <c r="G74">
        <f>('Employee Performance and Attend'!F74/'Employee Performance and Attend'!E74)*100</f>
        <v>99.107142857142861</v>
      </c>
      <c r="H74">
        <f t="shared" si="7"/>
        <v>68.181818181818173</v>
      </c>
      <c r="I74" t="str">
        <f t="shared" si="8"/>
        <v>Good</v>
      </c>
      <c r="J74" t="str">
        <f t="shared" si="9"/>
        <v>Poor</v>
      </c>
      <c r="K74">
        <f t="shared" si="10"/>
        <v>7</v>
      </c>
    </row>
    <row r="75" spans="1:11" x14ac:dyDescent="0.3">
      <c r="A75" t="s">
        <v>243</v>
      </c>
      <c r="B75" t="s">
        <v>244</v>
      </c>
      <c r="C75" t="s">
        <v>100</v>
      </c>
      <c r="D75">
        <v>19</v>
      </c>
      <c r="E75">
        <v>103</v>
      </c>
      <c r="F75">
        <v>85</v>
      </c>
      <c r="G75">
        <f>('Employee Performance and Attend'!F75/'Employee Performance and Attend'!E75)*100</f>
        <v>82.524271844660191</v>
      </c>
      <c r="H75">
        <f t="shared" si="7"/>
        <v>86.36363636363636</v>
      </c>
      <c r="I75" t="str">
        <f t="shared" si="8"/>
        <v>Needs Improvement</v>
      </c>
      <c r="J75" t="str">
        <f t="shared" si="9"/>
        <v>Poor</v>
      </c>
      <c r="K75">
        <f t="shared" si="10"/>
        <v>3</v>
      </c>
    </row>
    <row r="76" spans="1:11" x14ac:dyDescent="0.3">
      <c r="A76" t="s">
        <v>245</v>
      </c>
      <c r="B76" t="s">
        <v>246</v>
      </c>
      <c r="C76" t="s">
        <v>103</v>
      </c>
      <c r="D76">
        <v>18</v>
      </c>
      <c r="E76">
        <v>94</v>
      </c>
      <c r="F76">
        <v>123</v>
      </c>
      <c r="G76">
        <f>('Employee Performance and Attend'!F76/'Employee Performance and Attend'!E76)*100</f>
        <v>130.85106382978725</v>
      </c>
      <c r="H76">
        <f t="shared" si="7"/>
        <v>81.818181818181827</v>
      </c>
      <c r="I76" t="str">
        <f t="shared" si="8"/>
        <v>Excellent</v>
      </c>
      <c r="J76" t="str">
        <f t="shared" si="9"/>
        <v>Poor</v>
      </c>
      <c r="K76">
        <f t="shared" si="10"/>
        <v>4</v>
      </c>
    </row>
    <row r="77" spans="1:11" x14ac:dyDescent="0.3">
      <c r="A77" t="s">
        <v>247</v>
      </c>
      <c r="B77" t="s">
        <v>248</v>
      </c>
      <c r="C77" t="s">
        <v>103</v>
      </c>
      <c r="D77">
        <v>19</v>
      </c>
      <c r="E77">
        <v>109</v>
      </c>
      <c r="F77">
        <v>118</v>
      </c>
      <c r="G77">
        <f>('Employee Performance and Attend'!F77/'Employee Performance and Attend'!E77)*100</f>
        <v>108.25688073394495</v>
      </c>
      <c r="H77">
        <f t="shared" si="7"/>
        <v>86.36363636363636</v>
      </c>
      <c r="I77" t="str">
        <f t="shared" si="8"/>
        <v>Excellent</v>
      </c>
      <c r="J77" t="str">
        <f t="shared" si="9"/>
        <v>Poor</v>
      </c>
      <c r="K77">
        <f t="shared" si="10"/>
        <v>3</v>
      </c>
    </row>
    <row r="78" spans="1:11" x14ac:dyDescent="0.3">
      <c r="A78" t="s">
        <v>249</v>
      </c>
      <c r="B78" t="s">
        <v>250</v>
      </c>
      <c r="C78" t="s">
        <v>103</v>
      </c>
      <c r="D78">
        <v>18</v>
      </c>
      <c r="E78">
        <v>96</v>
      </c>
      <c r="F78">
        <v>115</v>
      </c>
      <c r="G78">
        <f>('Employee Performance and Attend'!F78/'Employee Performance and Attend'!E78)*100</f>
        <v>119.79166666666667</v>
      </c>
      <c r="H78">
        <f t="shared" si="7"/>
        <v>81.818181818181827</v>
      </c>
      <c r="I78" t="str">
        <f t="shared" si="8"/>
        <v>Excellent</v>
      </c>
      <c r="J78" t="str">
        <f t="shared" si="9"/>
        <v>Poor</v>
      </c>
      <c r="K78">
        <f t="shared" si="10"/>
        <v>4</v>
      </c>
    </row>
    <row r="79" spans="1:11" x14ac:dyDescent="0.3">
      <c r="A79" t="s">
        <v>251</v>
      </c>
      <c r="B79" t="s">
        <v>252</v>
      </c>
      <c r="C79" t="s">
        <v>112</v>
      </c>
      <c r="D79">
        <v>22</v>
      </c>
      <c r="E79">
        <v>84</v>
      </c>
      <c r="F79">
        <v>118</v>
      </c>
      <c r="G79">
        <f>('Employee Performance and Attend'!F79/'Employee Performance and Attend'!E79)*100</f>
        <v>140.47619047619045</v>
      </c>
      <c r="H79">
        <f t="shared" si="7"/>
        <v>100</v>
      </c>
      <c r="I79" t="str">
        <f t="shared" si="8"/>
        <v>Excellent</v>
      </c>
      <c r="J79" t="str">
        <f t="shared" si="9"/>
        <v>Excellent</v>
      </c>
      <c r="K79">
        <f t="shared" si="10"/>
        <v>0</v>
      </c>
    </row>
    <row r="80" spans="1:11" x14ac:dyDescent="0.3">
      <c r="A80" t="s">
        <v>253</v>
      </c>
      <c r="B80" t="s">
        <v>254</v>
      </c>
      <c r="C80" t="s">
        <v>100</v>
      </c>
      <c r="D80">
        <v>19</v>
      </c>
      <c r="E80">
        <v>108</v>
      </c>
      <c r="F80">
        <v>129</v>
      </c>
      <c r="G80">
        <f>('Employee Performance and Attend'!F80/'Employee Performance and Attend'!E80)*100</f>
        <v>119.44444444444444</v>
      </c>
      <c r="H80">
        <f t="shared" si="7"/>
        <v>86.36363636363636</v>
      </c>
      <c r="I80" t="str">
        <f t="shared" si="8"/>
        <v>Excellent</v>
      </c>
      <c r="J80" t="str">
        <f t="shared" si="9"/>
        <v>Poor</v>
      </c>
      <c r="K80">
        <f t="shared" si="10"/>
        <v>3</v>
      </c>
    </row>
    <row r="81" spans="1:11" x14ac:dyDescent="0.3">
      <c r="A81" t="s">
        <v>255</v>
      </c>
      <c r="B81" t="s">
        <v>256</v>
      </c>
      <c r="C81" t="s">
        <v>103</v>
      </c>
      <c r="D81">
        <v>19</v>
      </c>
      <c r="E81">
        <v>83</v>
      </c>
      <c r="F81">
        <v>92</v>
      </c>
      <c r="G81">
        <f>('Employee Performance and Attend'!F81/'Employee Performance and Attend'!E81)*100</f>
        <v>110.8433734939759</v>
      </c>
      <c r="H81">
        <f t="shared" si="7"/>
        <v>86.36363636363636</v>
      </c>
      <c r="I81" t="str">
        <f t="shared" si="8"/>
        <v>Excellent</v>
      </c>
      <c r="J81" t="str">
        <f t="shared" si="9"/>
        <v>Poor</v>
      </c>
      <c r="K81">
        <f t="shared" si="10"/>
        <v>3</v>
      </c>
    </row>
    <row r="82" spans="1:11" x14ac:dyDescent="0.3">
      <c r="A82" t="s">
        <v>257</v>
      </c>
      <c r="B82" t="s">
        <v>258</v>
      </c>
      <c r="C82" t="s">
        <v>112</v>
      </c>
      <c r="D82">
        <v>20</v>
      </c>
      <c r="E82">
        <v>89</v>
      </c>
      <c r="F82">
        <v>112</v>
      </c>
      <c r="G82">
        <f>('Employee Performance and Attend'!F82/'Employee Performance and Attend'!E82)*100</f>
        <v>125.84269662921348</v>
      </c>
      <c r="H82">
        <f t="shared" si="7"/>
        <v>90.909090909090907</v>
      </c>
      <c r="I82" t="str">
        <f t="shared" si="8"/>
        <v>Excellent</v>
      </c>
      <c r="J82" t="str">
        <f t="shared" si="9"/>
        <v>Satisfactory</v>
      </c>
      <c r="K82">
        <f t="shared" si="10"/>
        <v>2</v>
      </c>
    </row>
    <row r="83" spans="1:11" x14ac:dyDescent="0.3">
      <c r="A83" t="s">
        <v>259</v>
      </c>
      <c r="B83" t="s">
        <v>260</v>
      </c>
      <c r="C83" t="s">
        <v>94</v>
      </c>
      <c r="D83">
        <v>17</v>
      </c>
      <c r="E83">
        <v>96</v>
      </c>
      <c r="F83">
        <v>81</v>
      </c>
      <c r="G83">
        <f>('Employee Performance and Attend'!F83/'Employee Performance and Attend'!E83)*100</f>
        <v>84.375</v>
      </c>
      <c r="H83">
        <f t="shared" si="7"/>
        <v>77.272727272727266</v>
      </c>
      <c r="I83" t="str">
        <f t="shared" si="8"/>
        <v>Needs Improvement</v>
      </c>
      <c r="J83" t="str">
        <f t="shared" si="9"/>
        <v>Poor</v>
      </c>
      <c r="K83">
        <f t="shared" si="10"/>
        <v>5</v>
      </c>
    </row>
    <row r="84" spans="1:11" x14ac:dyDescent="0.3">
      <c r="A84" t="s">
        <v>261</v>
      </c>
      <c r="B84" t="s">
        <v>262</v>
      </c>
      <c r="C84" t="s">
        <v>94</v>
      </c>
      <c r="D84">
        <v>19</v>
      </c>
      <c r="E84">
        <v>89</v>
      </c>
      <c r="F84">
        <v>80</v>
      </c>
      <c r="G84">
        <f>('Employee Performance and Attend'!F84/'Employee Performance and Attend'!E84)*100</f>
        <v>89.887640449438194</v>
      </c>
      <c r="H84">
        <f t="shared" si="7"/>
        <v>86.36363636363636</v>
      </c>
      <c r="I84" t="str">
        <f t="shared" si="8"/>
        <v>Needs Improvement</v>
      </c>
      <c r="J84" t="str">
        <f t="shared" si="9"/>
        <v>Poor</v>
      </c>
      <c r="K84">
        <f t="shared" si="10"/>
        <v>3</v>
      </c>
    </row>
    <row r="85" spans="1:11" x14ac:dyDescent="0.3">
      <c r="A85" t="s">
        <v>263</v>
      </c>
      <c r="B85" t="s">
        <v>264</v>
      </c>
      <c r="C85" t="s">
        <v>112</v>
      </c>
      <c r="D85">
        <v>20</v>
      </c>
      <c r="E85">
        <v>96</v>
      </c>
      <c r="F85">
        <v>129</v>
      </c>
      <c r="G85">
        <f>('Employee Performance and Attend'!F85/'Employee Performance and Attend'!E85)*100</f>
        <v>134.375</v>
      </c>
      <c r="H85">
        <f t="shared" si="7"/>
        <v>90.909090909090907</v>
      </c>
      <c r="I85" t="str">
        <f t="shared" si="8"/>
        <v>Excellent</v>
      </c>
      <c r="J85" t="str">
        <f t="shared" si="9"/>
        <v>Satisfactory</v>
      </c>
      <c r="K85">
        <f t="shared" si="10"/>
        <v>2</v>
      </c>
    </row>
    <row r="86" spans="1:11" x14ac:dyDescent="0.3">
      <c r="A86" t="s">
        <v>265</v>
      </c>
      <c r="B86" t="s">
        <v>266</v>
      </c>
      <c r="C86" t="s">
        <v>112</v>
      </c>
      <c r="D86">
        <v>16</v>
      </c>
      <c r="E86">
        <v>99</v>
      </c>
      <c r="F86">
        <v>129</v>
      </c>
      <c r="G86">
        <f>('Employee Performance and Attend'!F86/'Employee Performance and Attend'!E86)*100</f>
        <v>130.30303030303031</v>
      </c>
      <c r="H86">
        <f t="shared" si="7"/>
        <v>72.727272727272734</v>
      </c>
      <c r="I86" t="str">
        <f t="shared" si="8"/>
        <v>Excellent</v>
      </c>
      <c r="J86" t="str">
        <f t="shared" si="9"/>
        <v>Poor</v>
      </c>
      <c r="K86">
        <f t="shared" si="10"/>
        <v>6</v>
      </c>
    </row>
    <row r="87" spans="1:11" x14ac:dyDescent="0.3">
      <c r="A87" t="s">
        <v>267</v>
      </c>
      <c r="B87" t="s">
        <v>268</v>
      </c>
      <c r="C87" t="s">
        <v>100</v>
      </c>
      <c r="D87">
        <v>17</v>
      </c>
      <c r="E87">
        <v>103</v>
      </c>
      <c r="F87">
        <v>63</v>
      </c>
      <c r="G87">
        <f>('Employee Performance and Attend'!F87/'Employee Performance and Attend'!E87)*100</f>
        <v>61.165048543689316</v>
      </c>
      <c r="H87">
        <f t="shared" si="7"/>
        <v>77.272727272727266</v>
      </c>
      <c r="I87" t="str">
        <f t="shared" si="8"/>
        <v>Underperformer</v>
      </c>
      <c r="J87" t="str">
        <f t="shared" si="9"/>
        <v>Poor</v>
      </c>
      <c r="K87">
        <f t="shared" si="10"/>
        <v>5</v>
      </c>
    </row>
    <row r="88" spans="1:11" x14ac:dyDescent="0.3">
      <c r="A88" t="s">
        <v>269</v>
      </c>
      <c r="B88" t="s">
        <v>270</v>
      </c>
      <c r="C88" t="s">
        <v>100</v>
      </c>
      <c r="D88">
        <v>22</v>
      </c>
      <c r="E88">
        <v>84</v>
      </c>
      <c r="F88">
        <v>121</v>
      </c>
      <c r="G88">
        <f>('Employee Performance and Attend'!F88/'Employee Performance and Attend'!E88)*100</f>
        <v>144.04761904761904</v>
      </c>
      <c r="H88">
        <f t="shared" si="7"/>
        <v>100</v>
      </c>
      <c r="I88" t="str">
        <f t="shared" si="8"/>
        <v>Excellent</v>
      </c>
      <c r="J88" t="str">
        <f t="shared" si="9"/>
        <v>Excellent</v>
      </c>
      <c r="K88">
        <f t="shared" si="10"/>
        <v>0</v>
      </c>
    </row>
    <row r="89" spans="1:11" x14ac:dyDescent="0.3">
      <c r="A89" t="s">
        <v>271</v>
      </c>
      <c r="B89" t="s">
        <v>272</v>
      </c>
      <c r="C89" t="s">
        <v>94</v>
      </c>
      <c r="D89">
        <v>19</v>
      </c>
      <c r="E89">
        <v>113</v>
      </c>
      <c r="F89">
        <v>121</v>
      </c>
      <c r="G89">
        <f>('Employee Performance and Attend'!F89/'Employee Performance and Attend'!E89)*100</f>
        <v>107.07964601769913</v>
      </c>
      <c r="H89">
        <f t="shared" si="7"/>
        <v>86.36363636363636</v>
      </c>
      <c r="I89" t="str">
        <f t="shared" si="8"/>
        <v>Excellent</v>
      </c>
      <c r="J89" t="str">
        <f t="shared" si="9"/>
        <v>Poor</v>
      </c>
      <c r="K89">
        <f t="shared" si="10"/>
        <v>3</v>
      </c>
    </row>
    <row r="90" spans="1:11" x14ac:dyDescent="0.3">
      <c r="A90" t="s">
        <v>273</v>
      </c>
      <c r="B90" t="s">
        <v>274</v>
      </c>
      <c r="C90" t="s">
        <v>103</v>
      </c>
      <c r="D90">
        <v>21</v>
      </c>
      <c r="E90">
        <v>85</v>
      </c>
      <c r="F90">
        <v>83</v>
      </c>
      <c r="G90">
        <f>('Employee Performance and Attend'!F90/'Employee Performance and Attend'!E90)*100</f>
        <v>97.647058823529406</v>
      </c>
      <c r="H90">
        <f t="shared" si="7"/>
        <v>95.454545454545453</v>
      </c>
      <c r="I90" t="str">
        <f t="shared" si="8"/>
        <v>Good</v>
      </c>
      <c r="J90" t="str">
        <f t="shared" si="9"/>
        <v>Excellent</v>
      </c>
      <c r="K90">
        <f t="shared" si="10"/>
        <v>1</v>
      </c>
    </row>
    <row r="91" spans="1:11" x14ac:dyDescent="0.3">
      <c r="A91" t="s">
        <v>275</v>
      </c>
      <c r="B91" t="s">
        <v>276</v>
      </c>
      <c r="C91" t="s">
        <v>94</v>
      </c>
      <c r="D91">
        <v>15</v>
      </c>
      <c r="E91">
        <v>81</v>
      </c>
      <c r="F91">
        <v>114</v>
      </c>
      <c r="G91">
        <f>('Employee Performance and Attend'!F91/'Employee Performance and Attend'!E91)*100</f>
        <v>140.74074074074073</v>
      </c>
      <c r="H91">
        <f t="shared" si="7"/>
        <v>68.181818181818173</v>
      </c>
      <c r="I91" t="str">
        <f t="shared" si="8"/>
        <v>Excellent</v>
      </c>
      <c r="J91" t="str">
        <f t="shared" si="9"/>
        <v>Poor</v>
      </c>
      <c r="K91">
        <f t="shared" si="10"/>
        <v>7</v>
      </c>
    </row>
    <row r="92" spans="1:11" x14ac:dyDescent="0.3">
      <c r="A92" t="s">
        <v>277</v>
      </c>
      <c r="B92" t="s">
        <v>278</v>
      </c>
      <c r="C92" t="s">
        <v>103</v>
      </c>
      <c r="D92">
        <v>16</v>
      </c>
      <c r="E92">
        <v>92</v>
      </c>
      <c r="F92">
        <v>68</v>
      </c>
      <c r="G92">
        <f>('Employee Performance and Attend'!F92/'Employee Performance and Attend'!E92)*100</f>
        <v>73.91304347826086</v>
      </c>
      <c r="H92">
        <f t="shared" si="7"/>
        <v>72.727272727272734</v>
      </c>
      <c r="I92" t="str">
        <f t="shared" si="8"/>
        <v>Underperformer</v>
      </c>
      <c r="J92" t="str">
        <f t="shared" si="9"/>
        <v>Poor</v>
      </c>
      <c r="K92">
        <f t="shared" si="10"/>
        <v>6</v>
      </c>
    </row>
    <row r="93" spans="1:11" x14ac:dyDescent="0.3">
      <c r="A93" t="s">
        <v>279</v>
      </c>
      <c r="B93" t="s">
        <v>280</v>
      </c>
      <c r="C93" t="s">
        <v>103</v>
      </c>
      <c r="D93">
        <v>16</v>
      </c>
      <c r="E93">
        <v>90</v>
      </c>
      <c r="F93">
        <v>62</v>
      </c>
      <c r="G93">
        <f>('Employee Performance and Attend'!F93/'Employee Performance and Attend'!E93)*100</f>
        <v>68.888888888888886</v>
      </c>
      <c r="H93">
        <f t="shared" si="7"/>
        <v>72.727272727272734</v>
      </c>
      <c r="I93" t="str">
        <f t="shared" si="8"/>
        <v>Underperformer</v>
      </c>
      <c r="J93" t="str">
        <f t="shared" si="9"/>
        <v>Poor</v>
      </c>
      <c r="K93">
        <f t="shared" si="10"/>
        <v>6</v>
      </c>
    </row>
    <row r="94" spans="1:11" x14ac:dyDescent="0.3">
      <c r="A94" t="s">
        <v>281</v>
      </c>
      <c r="B94" t="s">
        <v>282</v>
      </c>
      <c r="C94" t="s">
        <v>100</v>
      </c>
      <c r="D94">
        <v>22</v>
      </c>
      <c r="E94">
        <v>102</v>
      </c>
      <c r="F94">
        <v>90</v>
      </c>
      <c r="G94">
        <f>('Employee Performance and Attend'!F94/'Employee Performance and Attend'!E94)*100</f>
        <v>88.235294117647058</v>
      </c>
      <c r="H94">
        <f t="shared" si="7"/>
        <v>100</v>
      </c>
      <c r="I94" t="str">
        <f t="shared" si="8"/>
        <v>Needs Improvement</v>
      </c>
      <c r="J94" t="str">
        <f t="shared" si="9"/>
        <v>Excellent</v>
      </c>
      <c r="K94">
        <f t="shared" si="10"/>
        <v>0</v>
      </c>
    </row>
    <row r="95" spans="1:11" x14ac:dyDescent="0.3">
      <c r="A95" t="s">
        <v>283</v>
      </c>
      <c r="B95" t="s">
        <v>284</v>
      </c>
      <c r="C95" t="s">
        <v>97</v>
      </c>
      <c r="D95">
        <v>20</v>
      </c>
      <c r="E95">
        <v>95</v>
      </c>
      <c r="F95">
        <v>99</v>
      </c>
      <c r="G95">
        <f>('Employee Performance and Attend'!F95/'Employee Performance and Attend'!E95)*100</f>
        <v>104.21052631578947</v>
      </c>
      <c r="H95">
        <f t="shared" si="7"/>
        <v>90.909090909090907</v>
      </c>
      <c r="I95" t="str">
        <f t="shared" si="8"/>
        <v>Excellent</v>
      </c>
      <c r="J95" t="str">
        <f t="shared" si="9"/>
        <v>Satisfactory</v>
      </c>
      <c r="K95">
        <f t="shared" si="10"/>
        <v>2</v>
      </c>
    </row>
    <row r="96" spans="1:11" x14ac:dyDescent="0.3">
      <c r="A96" t="s">
        <v>285</v>
      </c>
      <c r="B96" t="s">
        <v>286</v>
      </c>
      <c r="C96" t="s">
        <v>97</v>
      </c>
      <c r="D96">
        <v>16</v>
      </c>
      <c r="E96">
        <v>110</v>
      </c>
      <c r="F96">
        <v>95</v>
      </c>
      <c r="G96">
        <f>('Employee Performance and Attend'!F96/'Employee Performance and Attend'!E96)*100</f>
        <v>86.36363636363636</v>
      </c>
      <c r="H96">
        <f t="shared" si="7"/>
        <v>72.727272727272734</v>
      </c>
      <c r="I96" t="str">
        <f t="shared" si="8"/>
        <v>Needs Improvement</v>
      </c>
      <c r="J96" t="str">
        <f t="shared" si="9"/>
        <v>Poor</v>
      </c>
      <c r="K96">
        <f t="shared" si="10"/>
        <v>6</v>
      </c>
    </row>
    <row r="97" spans="1:11" x14ac:dyDescent="0.3">
      <c r="A97" t="s">
        <v>287</v>
      </c>
      <c r="B97" t="s">
        <v>288</v>
      </c>
      <c r="C97" t="s">
        <v>112</v>
      </c>
      <c r="D97">
        <v>17</v>
      </c>
      <c r="E97">
        <v>90</v>
      </c>
      <c r="F97">
        <v>83</v>
      </c>
      <c r="G97">
        <f>('Employee Performance and Attend'!F97/'Employee Performance and Attend'!E97)*100</f>
        <v>92.222222222222229</v>
      </c>
      <c r="H97">
        <f t="shared" si="7"/>
        <v>77.272727272727266</v>
      </c>
      <c r="I97" t="str">
        <f t="shared" si="8"/>
        <v>Good</v>
      </c>
      <c r="J97" t="str">
        <f t="shared" si="9"/>
        <v>Poor</v>
      </c>
      <c r="K97">
        <f t="shared" si="10"/>
        <v>5</v>
      </c>
    </row>
    <row r="98" spans="1:11" x14ac:dyDescent="0.3">
      <c r="A98" t="s">
        <v>289</v>
      </c>
      <c r="B98" t="s">
        <v>290</v>
      </c>
      <c r="C98" t="s">
        <v>100</v>
      </c>
      <c r="D98">
        <v>19</v>
      </c>
      <c r="E98">
        <v>95</v>
      </c>
      <c r="F98">
        <v>65</v>
      </c>
      <c r="G98">
        <f>('Employee Performance and Attend'!F98/'Employee Performance and Attend'!E98)*100</f>
        <v>68.421052631578945</v>
      </c>
      <c r="H98">
        <f t="shared" si="7"/>
        <v>86.36363636363636</v>
      </c>
      <c r="I98" t="str">
        <f t="shared" si="8"/>
        <v>Underperformer</v>
      </c>
      <c r="J98" t="str">
        <f t="shared" si="9"/>
        <v>Poor</v>
      </c>
      <c r="K98">
        <f t="shared" si="10"/>
        <v>3</v>
      </c>
    </row>
    <row r="99" spans="1:11" x14ac:dyDescent="0.3">
      <c r="A99" t="s">
        <v>291</v>
      </c>
      <c r="B99" t="s">
        <v>292</v>
      </c>
      <c r="C99" t="s">
        <v>103</v>
      </c>
      <c r="D99">
        <v>19</v>
      </c>
      <c r="E99">
        <v>87</v>
      </c>
      <c r="F99">
        <v>125</v>
      </c>
      <c r="G99">
        <f>('Employee Performance and Attend'!F99/'Employee Performance and Attend'!E99)*100</f>
        <v>143.67816091954023</v>
      </c>
      <c r="H99">
        <f t="shared" si="7"/>
        <v>86.36363636363636</v>
      </c>
      <c r="I99" t="str">
        <f t="shared" si="8"/>
        <v>Excellent</v>
      </c>
      <c r="J99" t="str">
        <f t="shared" si="9"/>
        <v>Poor</v>
      </c>
      <c r="K99">
        <f t="shared" si="10"/>
        <v>3</v>
      </c>
    </row>
    <row r="100" spans="1:11" x14ac:dyDescent="0.3">
      <c r="A100" t="s">
        <v>293</v>
      </c>
      <c r="B100" t="s">
        <v>294</v>
      </c>
      <c r="C100" t="s">
        <v>97</v>
      </c>
      <c r="D100">
        <v>21</v>
      </c>
      <c r="E100">
        <v>83</v>
      </c>
      <c r="F100">
        <v>63</v>
      </c>
      <c r="G100">
        <f>('Employee Performance and Attend'!F100/'Employee Performance and Attend'!E100)*100</f>
        <v>75.903614457831324</v>
      </c>
      <c r="H100">
        <f t="shared" si="7"/>
        <v>95.454545454545453</v>
      </c>
      <c r="I100" t="str">
        <f t="shared" si="8"/>
        <v>Underperformer</v>
      </c>
      <c r="J100" t="str">
        <f t="shared" si="9"/>
        <v>Excellent</v>
      </c>
      <c r="K100">
        <f t="shared" si="10"/>
        <v>1</v>
      </c>
    </row>
    <row r="101" spans="1:11" x14ac:dyDescent="0.3">
      <c r="A101" t="s">
        <v>295</v>
      </c>
      <c r="B101" t="s">
        <v>296</v>
      </c>
      <c r="C101" t="s">
        <v>103</v>
      </c>
      <c r="D101">
        <v>22</v>
      </c>
      <c r="E101">
        <v>119</v>
      </c>
      <c r="F101">
        <v>65</v>
      </c>
      <c r="G101">
        <f>('Employee Performance and Attend'!F101/'Employee Performance and Attend'!E101)*100</f>
        <v>54.621848739495796</v>
      </c>
      <c r="H101">
        <f t="shared" si="7"/>
        <v>100</v>
      </c>
      <c r="I101" t="str">
        <f t="shared" si="8"/>
        <v>Underperformer</v>
      </c>
      <c r="J101" t="str">
        <f t="shared" si="9"/>
        <v>Excellent</v>
      </c>
      <c r="K101">
        <f t="shared" si="10"/>
        <v>0</v>
      </c>
    </row>
  </sheetData>
  <autoFilter ref="A1:J101" xr:uid="{AD160FD2-8BD4-4061-850C-8217C0EBD2D6}">
    <sortState xmlns:xlrd2="http://schemas.microsoft.com/office/spreadsheetml/2017/richdata2" ref="A2:J101">
      <sortCondition ref="A1:A101"/>
    </sortState>
  </autoFilter>
  <sortState xmlns:xlrd2="http://schemas.microsoft.com/office/spreadsheetml/2017/richdata2" ref="A2:J101">
    <sortCondition descending="1" ref="E2:E101"/>
  </sortState>
  <conditionalFormatting sqref="G2:G101">
    <cfRule type="cellIs" dxfId="10" priority="4" operator="greaterThan">
      <formula>100</formula>
    </cfRule>
    <cfRule type="cellIs" dxfId="9" priority="6" operator="lessThan">
      <formula>80</formula>
    </cfRule>
    <cfRule type="cellIs" dxfId="8" priority="7" operator="between">
      <formula>80</formula>
      <formula>89</formula>
    </cfRule>
    <cfRule type="cellIs" dxfId="7" priority="8" operator="between">
      <formula>99</formula>
      <formula>90</formula>
    </cfRule>
    <cfRule type="cellIs" dxfId="6" priority="9" operator="greaterThan">
      <formula>100</formula>
    </cfRule>
    <cfRule type="expression" dxfId="5" priority="10">
      <formula>"90-99"</formula>
    </cfRule>
    <cfRule type="cellIs" dxfId="4" priority="11" operator="greaterThan">
      <formula>100</formula>
    </cfRule>
    <cfRule type="expression" dxfId="3" priority="13">
      <formula>"≥100 → green fill | 90–99 → yellow | 80–89 → orange | &lt;80 → red"</formula>
    </cfRule>
  </conditionalFormatting>
  <conditionalFormatting sqref="H2:H101">
    <cfRule type="cellIs" dxfId="2" priority="2" operator="lessThan">
      <formula>90</formula>
    </cfRule>
    <cfRule type="cellIs" dxfId="1" priority="3" operator="between">
      <formula>90</formula>
      <formula>95</formula>
    </cfRule>
    <cfRule type="cellIs" dxfId="0" priority="5" operator="greaterThan">
      <formula>95</formula>
    </cfRule>
  </conditionalFormatting>
  <conditionalFormatting sqref="J1:J101 K1">
    <cfRule type="iconSet" priority="1">
      <iconSet iconSet="3TrafficLights2">
        <cfvo type="percent" val="0"/>
        <cfvo type="percent" val="33"/>
        <cfvo type="percent" val="67"/>
      </iconSet>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0500-0CE6-4D0A-B032-CDC3B34B4E49}">
  <dimension ref="A1"/>
  <sheetViews>
    <sheetView workbookViewId="0">
      <selection activeCell="F7" sqref="F7"/>
    </sheetView>
  </sheetViews>
  <sheetFormatPr defaultRowHeight="14.4" x14ac:dyDescent="0.3"/>
  <cols>
    <col min="1" max="8" width="15.5546875" bestFit="1" customWidth="1"/>
    <col min="9" max="10" width="10.77734375" bestFit="1" customWidth="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B83FB-E5A8-4712-9121-1465C05F610A}">
  <dimension ref="A1:J27"/>
  <sheetViews>
    <sheetView workbookViewId="0">
      <selection activeCell="A16" sqref="A16:B27"/>
    </sheetView>
  </sheetViews>
  <sheetFormatPr defaultRowHeight="14.4" x14ac:dyDescent="0.3"/>
  <cols>
    <col min="1" max="1" width="16.5546875" bestFit="1" customWidth="1"/>
    <col min="2" max="2" width="31.33203125" bestFit="1" customWidth="1"/>
  </cols>
  <sheetData>
    <row r="1" spans="1:3" x14ac:dyDescent="0.3">
      <c r="A1" t="s">
        <v>87</v>
      </c>
      <c r="B1" t="s">
        <v>301</v>
      </c>
      <c r="C1" t="s">
        <v>316</v>
      </c>
    </row>
    <row r="2" spans="1:3" x14ac:dyDescent="0.3">
      <c r="A2" t="s">
        <v>107</v>
      </c>
      <c r="B2">
        <v>140.47619047619045</v>
      </c>
      <c r="C2" t="s">
        <v>100</v>
      </c>
    </row>
    <row r="3" spans="1:3" x14ac:dyDescent="0.3">
      <c r="A3" t="s">
        <v>270</v>
      </c>
      <c r="B3">
        <v>143.75</v>
      </c>
      <c r="C3" t="s">
        <v>100</v>
      </c>
    </row>
    <row r="4" spans="1:3" x14ac:dyDescent="0.3">
      <c r="A4" t="s">
        <v>214</v>
      </c>
      <c r="B4">
        <v>88.495575221238937</v>
      </c>
      <c r="C4" t="s">
        <v>94</v>
      </c>
    </row>
    <row r="5" spans="1:3" x14ac:dyDescent="0.3">
      <c r="A5" t="s">
        <v>292</v>
      </c>
      <c r="B5">
        <v>56.25</v>
      </c>
      <c r="C5" t="s">
        <v>103</v>
      </c>
    </row>
    <row r="6" spans="1:3" x14ac:dyDescent="0.3">
      <c r="A6" t="s">
        <v>276</v>
      </c>
      <c r="B6">
        <v>125</v>
      </c>
      <c r="C6" t="s">
        <v>94</v>
      </c>
    </row>
    <row r="7" spans="1:3" x14ac:dyDescent="0.3">
      <c r="A7" t="s">
        <v>252</v>
      </c>
      <c r="B7">
        <v>74.137931034482762</v>
      </c>
      <c r="C7" t="s">
        <v>112</v>
      </c>
    </row>
    <row r="8" spans="1:3" x14ac:dyDescent="0.3">
      <c r="A8" t="s">
        <v>182</v>
      </c>
      <c r="B8">
        <v>99.107142857142861</v>
      </c>
      <c r="C8" t="s">
        <v>94</v>
      </c>
    </row>
    <row r="9" spans="1:3" x14ac:dyDescent="0.3">
      <c r="A9" t="s">
        <v>200</v>
      </c>
      <c r="B9">
        <v>92.222222222222229</v>
      </c>
      <c r="C9" t="s">
        <v>97</v>
      </c>
    </row>
    <row r="10" spans="1:3" x14ac:dyDescent="0.3">
      <c r="A10" t="s">
        <v>170</v>
      </c>
      <c r="B10">
        <v>71.428571428571431</v>
      </c>
      <c r="C10" t="s">
        <v>103</v>
      </c>
    </row>
    <row r="11" spans="1:3" x14ac:dyDescent="0.3">
      <c r="A11" t="s">
        <v>111</v>
      </c>
      <c r="B11">
        <v>67.889908256880744</v>
      </c>
      <c r="C11" t="s">
        <v>112</v>
      </c>
    </row>
    <row r="16" spans="1:3" x14ac:dyDescent="0.3">
      <c r="A16" s="8" t="s">
        <v>319</v>
      </c>
      <c r="B16" t="s">
        <v>318</v>
      </c>
    </row>
    <row r="17" spans="1:10" x14ac:dyDescent="0.3">
      <c r="A17" s="9" t="s">
        <v>170</v>
      </c>
      <c r="B17">
        <v>71.428571428571431</v>
      </c>
    </row>
    <row r="18" spans="1:10" x14ac:dyDescent="0.3">
      <c r="A18" s="9" t="s">
        <v>182</v>
      </c>
      <c r="B18">
        <v>99.107142857142861</v>
      </c>
    </row>
    <row r="19" spans="1:10" x14ac:dyDescent="0.3">
      <c r="A19" s="9" t="s">
        <v>107</v>
      </c>
      <c r="B19">
        <v>140.47619047619045</v>
      </c>
    </row>
    <row r="20" spans="1:10" x14ac:dyDescent="0.3">
      <c r="A20" s="9" t="s">
        <v>200</v>
      </c>
      <c r="B20">
        <v>92.222222222222229</v>
      </c>
    </row>
    <row r="21" spans="1:10" x14ac:dyDescent="0.3">
      <c r="A21" s="9" t="s">
        <v>214</v>
      </c>
      <c r="B21">
        <v>88.495575221238937</v>
      </c>
    </row>
    <row r="22" spans="1:10" x14ac:dyDescent="0.3">
      <c r="A22" s="9" t="s">
        <v>111</v>
      </c>
      <c r="B22">
        <v>67.889908256880744</v>
      </c>
    </row>
    <row r="23" spans="1:10" x14ac:dyDescent="0.3">
      <c r="A23" s="9" t="s">
        <v>252</v>
      </c>
      <c r="B23">
        <v>74.137931034482762</v>
      </c>
    </row>
    <row r="24" spans="1:10" x14ac:dyDescent="0.3">
      <c r="A24" s="9" t="s">
        <v>270</v>
      </c>
      <c r="B24">
        <v>143.75</v>
      </c>
    </row>
    <row r="25" spans="1:10" x14ac:dyDescent="0.3">
      <c r="A25" s="9" t="s">
        <v>276</v>
      </c>
      <c r="B25">
        <v>125</v>
      </c>
    </row>
    <row r="26" spans="1:10" x14ac:dyDescent="0.3">
      <c r="A26" s="9" t="s">
        <v>292</v>
      </c>
      <c r="B26">
        <v>56.25</v>
      </c>
    </row>
    <row r="27" spans="1:10" x14ac:dyDescent="0.3">
      <c r="A27" s="9" t="s">
        <v>300</v>
      </c>
      <c r="B27">
        <v>958.75754149672935</v>
      </c>
      <c r="J27" t="s">
        <v>317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6E46C-6AA4-4B57-B87C-C26262002201}">
  <dimension ref="A1:J40"/>
  <sheetViews>
    <sheetView topLeftCell="A34" workbookViewId="0">
      <selection activeCell="J20" sqref="J20"/>
    </sheetView>
  </sheetViews>
  <sheetFormatPr defaultRowHeight="14.4" x14ac:dyDescent="0.3"/>
  <cols>
    <col min="1" max="1" width="13.33203125" bestFit="1" customWidth="1"/>
    <col min="2" max="2" width="19.5546875" bestFit="1" customWidth="1"/>
    <col min="3" max="3" width="17" customWidth="1"/>
    <col min="4" max="4" width="21.5546875" customWidth="1"/>
    <col min="5" max="5" width="15.5546875" customWidth="1"/>
    <col min="6" max="6" width="21.33203125" customWidth="1"/>
    <col min="7" max="7" width="21.77734375" customWidth="1"/>
    <col min="8" max="8" width="19.77734375" customWidth="1"/>
    <col min="9" max="9" width="22.109375" customWidth="1"/>
    <col min="10" max="10" width="20.6640625" customWidth="1"/>
  </cols>
  <sheetData>
    <row r="1" spans="1:10" x14ac:dyDescent="0.3">
      <c r="A1" s="10" t="s">
        <v>86</v>
      </c>
      <c r="B1" s="10" t="s">
        <v>87</v>
      </c>
      <c r="C1" s="10" t="s">
        <v>88</v>
      </c>
      <c r="D1" s="10" t="s">
        <v>89</v>
      </c>
      <c r="E1" s="10" t="s">
        <v>90</v>
      </c>
      <c r="F1" s="10" t="s">
        <v>91</v>
      </c>
      <c r="G1" s="10" t="s">
        <v>301</v>
      </c>
      <c r="H1" s="10" t="s">
        <v>297</v>
      </c>
      <c r="I1" s="10" t="s">
        <v>298</v>
      </c>
      <c r="J1" s="10" t="s">
        <v>299</v>
      </c>
    </row>
    <row r="2" spans="1:10" x14ac:dyDescent="0.3">
      <c r="A2" t="s">
        <v>269</v>
      </c>
      <c r="B2" t="s">
        <v>270</v>
      </c>
      <c r="C2" t="s">
        <v>100</v>
      </c>
      <c r="D2">
        <v>22</v>
      </c>
      <c r="E2">
        <v>84</v>
      </c>
      <c r="F2">
        <v>121</v>
      </c>
      <c r="G2">
        <v>67.889908256880744</v>
      </c>
      <c r="H2">
        <v>100</v>
      </c>
      <c r="I2" t="s">
        <v>308</v>
      </c>
      <c r="J2" t="s">
        <v>307</v>
      </c>
    </row>
    <row r="3" spans="1:10" x14ac:dyDescent="0.3">
      <c r="A3" t="s">
        <v>291</v>
      </c>
      <c r="B3" t="s">
        <v>292</v>
      </c>
      <c r="C3" t="s">
        <v>103</v>
      </c>
      <c r="D3">
        <v>19</v>
      </c>
      <c r="E3">
        <v>87</v>
      </c>
      <c r="F3">
        <v>125</v>
      </c>
      <c r="G3">
        <v>56.25</v>
      </c>
      <c r="H3">
        <v>86.36363636363636</v>
      </c>
      <c r="I3" t="s">
        <v>308</v>
      </c>
      <c r="J3" t="s">
        <v>306</v>
      </c>
    </row>
    <row r="4" spans="1:10" x14ac:dyDescent="0.3">
      <c r="A4" t="s">
        <v>275</v>
      </c>
      <c r="B4" t="s">
        <v>276</v>
      </c>
      <c r="C4" t="s">
        <v>94</v>
      </c>
      <c r="D4">
        <v>15</v>
      </c>
      <c r="E4">
        <v>81</v>
      </c>
      <c r="F4">
        <v>114</v>
      </c>
      <c r="G4">
        <v>64.545454545454547</v>
      </c>
      <c r="H4">
        <v>68.181818181818173</v>
      </c>
      <c r="I4" t="s">
        <v>308</v>
      </c>
      <c r="J4" t="s">
        <v>306</v>
      </c>
    </row>
    <row r="5" spans="1:10" x14ac:dyDescent="0.3">
      <c r="A5" t="s">
        <v>251</v>
      </c>
      <c r="B5" t="s">
        <v>252</v>
      </c>
      <c r="C5" t="s">
        <v>112</v>
      </c>
      <c r="D5">
        <v>22</v>
      </c>
      <c r="E5">
        <v>84</v>
      </c>
      <c r="F5">
        <v>118</v>
      </c>
      <c r="G5">
        <v>74.137931034482762</v>
      </c>
      <c r="H5">
        <v>100</v>
      </c>
      <c r="I5" t="s">
        <v>308</v>
      </c>
      <c r="J5" t="s">
        <v>307</v>
      </c>
    </row>
    <row r="6" spans="1:10" x14ac:dyDescent="0.3">
      <c r="A6" t="s">
        <v>263</v>
      </c>
      <c r="B6" t="s">
        <v>264</v>
      </c>
      <c r="C6" t="s">
        <v>112</v>
      </c>
      <c r="D6">
        <v>20</v>
      </c>
      <c r="E6">
        <v>96</v>
      </c>
      <c r="F6">
        <v>129</v>
      </c>
      <c r="G6">
        <v>68.888888888888886</v>
      </c>
      <c r="H6">
        <v>90.909090909090907</v>
      </c>
      <c r="I6" t="s">
        <v>308</v>
      </c>
      <c r="J6" t="s">
        <v>315</v>
      </c>
    </row>
    <row r="7" spans="1:10" x14ac:dyDescent="0.3">
      <c r="A7" t="s">
        <v>245</v>
      </c>
      <c r="B7" t="s">
        <v>246</v>
      </c>
      <c r="C7" t="s">
        <v>103</v>
      </c>
      <c r="D7">
        <v>18</v>
      </c>
      <c r="E7">
        <v>94</v>
      </c>
      <c r="F7">
        <v>123</v>
      </c>
      <c r="G7">
        <v>75.903614457831324</v>
      </c>
      <c r="H7">
        <v>81.818181818181827</v>
      </c>
      <c r="I7" t="s">
        <v>308</v>
      </c>
      <c r="J7" t="s">
        <v>306</v>
      </c>
    </row>
    <row r="8" spans="1:10" x14ac:dyDescent="0.3">
      <c r="A8" t="s">
        <v>265</v>
      </c>
      <c r="B8" t="s">
        <v>266</v>
      </c>
      <c r="C8" t="s">
        <v>112</v>
      </c>
      <c r="D8">
        <v>16</v>
      </c>
      <c r="E8">
        <v>99</v>
      </c>
      <c r="F8">
        <v>129</v>
      </c>
      <c r="G8">
        <v>68.421052631578945</v>
      </c>
      <c r="H8">
        <v>72.727272727272734</v>
      </c>
      <c r="I8" t="s">
        <v>308</v>
      </c>
      <c r="J8" t="s">
        <v>306</v>
      </c>
    </row>
    <row r="9" spans="1:10" x14ac:dyDescent="0.3">
      <c r="A9" t="s">
        <v>257</v>
      </c>
      <c r="B9" t="s">
        <v>258</v>
      </c>
      <c r="C9" t="s">
        <v>112</v>
      </c>
      <c r="D9">
        <v>20</v>
      </c>
      <c r="E9">
        <v>89</v>
      </c>
      <c r="F9">
        <v>112</v>
      </c>
      <c r="G9">
        <v>72.826086956521735</v>
      </c>
      <c r="H9">
        <v>90.909090909090907</v>
      </c>
      <c r="I9" t="s">
        <v>308</v>
      </c>
      <c r="J9" t="s">
        <v>315</v>
      </c>
    </row>
    <row r="10" spans="1:10" x14ac:dyDescent="0.3">
      <c r="A10" t="s">
        <v>249</v>
      </c>
      <c r="B10" t="s">
        <v>250</v>
      </c>
      <c r="C10" t="s">
        <v>103</v>
      </c>
      <c r="D10">
        <v>18</v>
      </c>
      <c r="E10">
        <v>96</v>
      </c>
      <c r="F10">
        <v>115</v>
      </c>
      <c r="G10">
        <v>75</v>
      </c>
      <c r="H10">
        <v>81.818181818181827</v>
      </c>
      <c r="I10" t="s">
        <v>308</v>
      </c>
      <c r="J10" t="s">
        <v>306</v>
      </c>
    </row>
    <row r="11" spans="1:10" x14ac:dyDescent="0.3">
      <c r="A11" t="s">
        <v>253</v>
      </c>
      <c r="B11" t="s">
        <v>254</v>
      </c>
      <c r="C11" t="s">
        <v>100</v>
      </c>
      <c r="D11">
        <v>19</v>
      </c>
      <c r="E11">
        <v>108</v>
      </c>
      <c r="F11">
        <v>129</v>
      </c>
      <c r="G11">
        <v>73.91304347826086</v>
      </c>
      <c r="H11">
        <v>86.36363636363636</v>
      </c>
      <c r="I11" t="s">
        <v>308</v>
      </c>
      <c r="J11" t="s">
        <v>306</v>
      </c>
    </row>
    <row r="12" spans="1:10" x14ac:dyDescent="0.3">
      <c r="A12" t="s">
        <v>255</v>
      </c>
      <c r="B12" t="s">
        <v>256</v>
      </c>
      <c r="C12" t="s">
        <v>103</v>
      </c>
      <c r="D12">
        <v>19</v>
      </c>
      <c r="E12">
        <v>83</v>
      </c>
      <c r="F12">
        <v>92</v>
      </c>
      <c r="G12">
        <v>73.275862068965495</v>
      </c>
      <c r="H12">
        <v>86.36363636363636</v>
      </c>
      <c r="I12" t="s">
        <v>308</v>
      </c>
      <c r="J12" t="s">
        <v>306</v>
      </c>
    </row>
    <row r="13" spans="1:10" x14ac:dyDescent="0.3">
      <c r="A13" t="s">
        <v>247</v>
      </c>
      <c r="B13" t="s">
        <v>248</v>
      </c>
      <c r="C13" t="s">
        <v>103</v>
      </c>
      <c r="D13">
        <v>19</v>
      </c>
      <c r="E13">
        <v>109</v>
      </c>
      <c r="F13">
        <v>118</v>
      </c>
      <c r="G13">
        <v>75.609756097560975</v>
      </c>
      <c r="H13">
        <v>86.36363636363636</v>
      </c>
      <c r="I13" t="s">
        <v>308</v>
      </c>
      <c r="J13" t="s">
        <v>306</v>
      </c>
    </row>
    <row r="14" spans="1:10" x14ac:dyDescent="0.3">
      <c r="A14" t="s">
        <v>271</v>
      </c>
      <c r="B14" t="s">
        <v>272</v>
      </c>
      <c r="C14" t="s">
        <v>94</v>
      </c>
      <c r="D14">
        <v>19</v>
      </c>
      <c r="E14">
        <v>113</v>
      </c>
      <c r="F14">
        <v>121</v>
      </c>
      <c r="G14">
        <v>65.765765765765778</v>
      </c>
      <c r="H14">
        <v>86.36363636363636</v>
      </c>
      <c r="I14" t="s">
        <v>308</v>
      </c>
      <c r="J14" t="s">
        <v>306</v>
      </c>
    </row>
    <row r="15" spans="1:10" x14ac:dyDescent="0.3">
      <c r="A15" t="s">
        <v>283</v>
      </c>
      <c r="B15" t="s">
        <v>284</v>
      </c>
      <c r="C15" t="s">
        <v>97</v>
      </c>
      <c r="D15">
        <v>20</v>
      </c>
      <c r="E15">
        <v>95</v>
      </c>
      <c r="F15">
        <v>99</v>
      </c>
      <c r="G15">
        <v>61.06194690265486</v>
      </c>
      <c r="H15">
        <v>90.909090909090907</v>
      </c>
      <c r="I15" t="s">
        <v>308</v>
      </c>
      <c r="J15" t="s">
        <v>315</v>
      </c>
    </row>
    <row r="16" spans="1:10" x14ac:dyDescent="0.3">
      <c r="A16" t="s">
        <v>241</v>
      </c>
      <c r="B16" t="s">
        <v>242</v>
      </c>
      <c r="C16" t="s">
        <v>97</v>
      </c>
      <c r="D16">
        <v>15</v>
      </c>
      <c r="E16">
        <v>112</v>
      </c>
      <c r="F16">
        <v>111</v>
      </c>
      <c r="G16">
        <v>76.991150442477874</v>
      </c>
      <c r="H16">
        <v>68.181818181818173</v>
      </c>
      <c r="I16" t="s">
        <v>308</v>
      </c>
      <c r="J16" t="s">
        <v>306</v>
      </c>
    </row>
    <row r="17" spans="1:10" x14ac:dyDescent="0.3">
      <c r="A17" t="s">
        <v>273</v>
      </c>
      <c r="B17" t="s">
        <v>274</v>
      </c>
      <c r="C17" t="s">
        <v>103</v>
      </c>
      <c r="D17">
        <v>21</v>
      </c>
      <c r="E17">
        <v>85</v>
      </c>
      <c r="F17">
        <v>83</v>
      </c>
      <c r="G17">
        <v>65.517241379310349</v>
      </c>
      <c r="H17">
        <v>95.454545454545453</v>
      </c>
      <c r="I17" t="s">
        <v>308</v>
      </c>
      <c r="J17" t="s">
        <v>307</v>
      </c>
    </row>
    <row r="18" spans="1:10" x14ac:dyDescent="0.3">
      <c r="A18" t="s">
        <v>287</v>
      </c>
      <c r="B18" t="s">
        <v>288</v>
      </c>
      <c r="C18" t="s">
        <v>112</v>
      </c>
      <c r="D18">
        <v>17</v>
      </c>
      <c r="E18">
        <v>90</v>
      </c>
      <c r="F18">
        <v>83</v>
      </c>
      <c r="G18">
        <v>57.009345794392516</v>
      </c>
      <c r="H18">
        <v>77.272727272727266</v>
      </c>
      <c r="I18" t="s">
        <v>308</v>
      </c>
      <c r="J18" t="s">
        <v>306</v>
      </c>
    </row>
    <row r="19" spans="1:10" x14ac:dyDescent="0.3">
      <c r="A19" t="s">
        <v>261</v>
      </c>
      <c r="B19" t="s">
        <v>262</v>
      </c>
      <c r="C19" t="s">
        <v>94</v>
      </c>
      <c r="D19">
        <v>19</v>
      </c>
      <c r="E19">
        <v>89</v>
      </c>
      <c r="F19">
        <v>80</v>
      </c>
      <c r="G19">
        <v>71.186440677966104</v>
      </c>
      <c r="H19">
        <v>86.36363636363636</v>
      </c>
      <c r="I19" t="s">
        <v>308</v>
      </c>
      <c r="J19" t="s">
        <v>306</v>
      </c>
    </row>
    <row r="20" spans="1:10" x14ac:dyDescent="0.3">
      <c r="A20" t="s">
        <v>237</v>
      </c>
      <c r="B20" t="s">
        <v>238</v>
      </c>
      <c r="C20" t="s">
        <v>103</v>
      </c>
      <c r="D20">
        <v>15</v>
      </c>
      <c r="E20">
        <v>113</v>
      </c>
      <c r="F20">
        <v>100</v>
      </c>
      <c r="G20">
        <v>79.487179487179489</v>
      </c>
      <c r="H20">
        <v>68.181818181818173</v>
      </c>
      <c r="I20" t="s">
        <v>308</v>
      </c>
      <c r="J20" t="s">
        <v>306</v>
      </c>
    </row>
    <row r="21" spans="1:10" x14ac:dyDescent="0.3">
      <c r="A21" t="s">
        <v>281</v>
      </c>
      <c r="B21" t="s">
        <v>282</v>
      </c>
      <c r="C21" t="s">
        <v>100</v>
      </c>
      <c r="D21">
        <v>22</v>
      </c>
      <c r="E21">
        <v>102</v>
      </c>
      <c r="F21">
        <v>90</v>
      </c>
      <c r="G21">
        <v>61.165048543689316</v>
      </c>
      <c r="H21">
        <v>100</v>
      </c>
      <c r="I21" t="s">
        <v>308</v>
      </c>
      <c r="J21" t="s">
        <v>307</v>
      </c>
    </row>
    <row r="22" spans="1:10" x14ac:dyDescent="0.3">
      <c r="A22" t="s">
        <v>285</v>
      </c>
      <c r="B22" t="s">
        <v>286</v>
      </c>
      <c r="C22" t="s">
        <v>97</v>
      </c>
      <c r="D22">
        <v>16</v>
      </c>
      <c r="E22">
        <v>110</v>
      </c>
      <c r="F22">
        <v>95</v>
      </c>
      <c r="G22">
        <v>58.407079646017699</v>
      </c>
      <c r="H22">
        <v>72.727272727272734</v>
      </c>
      <c r="I22" t="s">
        <v>308</v>
      </c>
      <c r="J22" t="s">
        <v>306</v>
      </c>
    </row>
    <row r="23" spans="1:10" x14ac:dyDescent="0.3">
      <c r="A23" t="s">
        <v>259</v>
      </c>
      <c r="B23" t="s">
        <v>260</v>
      </c>
      <c r="C23" t="s">
        <v>94</v>
      </c>
      <c r="D23">
        <v>17</v>
      </c>
      <c r="E23">
        <v>96</v>
      </c>
      <c r="F23">
        <v>81</v>
      </c>
      <c r="G23">
        <v>71.428571428571431</v>
      </c>
      <c r="H23">
        <v>77.272727272727266</v>
      </c>
      <c r="I23" t="s">
        <v>308</v>
      </c>
      <c r="J23" t="s">
        <v>306</v>
      </c>
    </row>
    <row r="24" spans="1:10" x14ac:dyDescent="0.3">
      <c r="A24" t="s">
        <v>243</v>
      </c>
      <c r="B24" t="s">
        <v>244</v>
      </c>
      <c r="C24" t="s">
        <v>100</v>
      </c>
      <c r="D24">
        <v>19</v>
      </c>
      <c r="E24">
        <v>103</v>
      </c>
      <c r="F24">
        <v>85</v>
      </c>
      <c r="G24">
        <v>76.19047619047619</v>
      </c>
      <c r="H24">
        <v>86.36363636363636</v>
      </c>
      <c r="I24" t="s">
        <v>308</v>
      </c>
      <c r="J24" t="s">
        <v>306</v>
      </c>
    </row>
    <row r="25" spans="1:10" x14ac:dyDescent="0.3">
      <c r="A25" t="s">
        <v>293</v>
      </c>
      <c r="B25" t="s">
        <v>294</v>
      </c>
      <c r="C25" t="s">
        <v>97</v>
      </c>
      <c r="D25">
        <v>21</v>
      </c>
      <c r="E25">
        <v>83</v>
      </c>
      <c r="F25">
        <v>63</v>
      </c>
      <c r="G25">
        <v>55.555555555555557</v>
      </c>
      <c r="H25">
        <v>95.454545454545453</v>
      </c>
      <c r="I25" t="s">
        <v>308</v>
      </c>
      <c r="J25" t="s">
        <v>307</v>
      </c>
    </row>
    <row r="26" spans="1:10" x14ac:dyDescent="0.3">
      <c r="A26" t="s">
        <v>277</v>
      </c>
      <c r="B26" t="s">
        <v>278</v>
      </c>
      <c r="C26" t="s">
        <v>103</v>
      </c>
      <c r="D26">
        <v>16</v>
      </c>
      <c r="E26">
        <v>92</v>
      </c>
      <c r="F26">
        <v>68</v>
      </c>
      <c r="G26">
        <v>62.5</v>
      </c>
      <c r="H26">
        <v>72.727272727272734</v>
      </c>
      <c r="I26" t="s">
        <v>308</v>
      </c>
      <c r="J26" t="s">
        <v>306</v>
      </c>
    </row>
    <row r="27" spans="1:10" x14ac:dyDescent="0.3">
      <c r="A27" t="s">
        <v>279</v>
      </c>
      <c r="B27" t="s">
        <v>280</v>
      </c>
      <c r="C27" t="s">
        <v>103</v>
      </c>
      <c r="D27">
        <v>16</v>
      </c>
      <c r="E27">
        <v>90</v>
      </c>
      <c r="F27">
        <v>62</v>
      </c>
      <c r="G27">
        <v>61.467889908256879</v>
      </c>
      <c r="H27">
        <v>72.727272727272734</v>
      </c>
      <c r="I27" t="s">
        <v>308</v>
      </c>
      <c r="J27" t="s">
        <v>306</v>
      </c>
    </row>
    <row r="28" spans="1:10" x14ac:dyDescent="0.3">
      <c r="A28" t="s">
        <v>289</v>
      </c>
      <c r="B28" t="s">
        <v>290</v>
      </c>
      <c r="C28" t="s">
        <v>100</v>
      </c>
      <c r="D28">
        <v>19</v>
      </c>
      <c r="E28">
        <v>95</v>
      </c>
      <c r="F28">
        <v>65</v>
      </c>
      <c r="G28">
        <v>56.637168141592923</v>
      </c>
      <c r="H28">
        <v>86.36363636363636</v>
      </c>
      <c r="I28" t="s">
        <v>308</v>
      </c>
      <c r="J28" t="s">
        <v>306</v>
      </c>
    </row>
    <row r="29" spans="1:10" x14ac:dyDescent="0.3">
      <c r="A29" t="s">
        <v>267</v>
      </c>
      <c r="B29" t="s">
        <v>268</v>
      </c>
      <c r="C29" t="s">
        <v>100</v>
      </c>
      <c r="D29">
        <v>17</v>
      </c>
      <c r="E29">
        <v>103</v>
      </c>
      <c r="F29">
        <v>63</v>
      </c>
      <c r="G29">
        <v>68.141592920353972</v>
      </c>
      <c r="H29">
        <v>77.272727272727266</v>
      </c>
      <c r="I29" t="s">
        <v>308</v>
      </c>
      <c r="J29" t="s">
        <v>306</v>
      </c>
    </row>
    <row r="30" spans="1:10" x14ac:dyDescent="0.3">
      <c r="A30" t="s">
        <v>239</v>
      </c>
      <c r="B30" t="s">
        <v>240</v>
      </c>
      <c r="C30" t="s">
        <v>97</v>
      </c>
      <c r="D30">
        <v>15</v>
      </c>
      <c r="E30">
        <v>117</v>
      </c>
      <c r="F30">
        <v>65</v>
      </c>
      <c r="G30">
        <v>77.272727272727266</v>
      </c>
      <c r="H30">
        <v>68.181818181818173</v>
      </c>
      <c r="I30" t="s">
        <v>308</v>
      </c>
      <c r="J30" t="s">
        <v>306</v>
      </c>
    </row>
    <row r="31" spans="1:10" x14ac:dyDescent="0.3">
      <c r="A31" t="s">
        <v>295</v>
      </c>
      <c r="B31" t="s">
        <v>296</v>
      </c>
      <c r="C31" t="s">
        <v>103</v>
      </c>
      <c r="D31">
        <v>22</v>
      </c>
      <c r="E31">
        <v>119</v>
      </c>
      <c r="F31">
        <v>65</v>
      </c>
      <c r="G31">
        <v>54.621848739495796</v>
      </c>
      <c r="H31">
        <v>100</v>
      </c>
      <c r="I31" t="s">
        <v>308</v>
      </c>
      <c r="J31" t="s">
        <v>307</v>
      </c>
    </row>
    <row r="34" spans="1:2" x14ac:dyDescent="0.3">
      <c r="A34" s="8" t="s">
        <v>88</v>
      </c>
      <c r="B34" t="s">
        <v>309</v>
      </c>
    </row>
    <row r="35" spans="1:2" x14ac:dyDescent="0.3">
      <c r="A35" s="9" t="s">
        <v>103</v>
      </c>
      <c r="B35">
        <v>10</v>
      </c>
    </row>
    <row r="36" spans="1:2" x14ac:dyDescent="0.3">
      <c r="A36" s="9" t="s">
        <v>97</v>
      </c>
      <c r="B36">
        <v>5</v>
      </c>
    </row>
    <row r="37" spans="1:2" x14ac:dyDescent="0.3">
      <c r="A37" s="9" t="s">
        <v>112</v>
      </c>
      <c r="B37">
        <v>5</v>
      </c>
    </row>
    <row r="38" spans="1:2" x14ac:dyDescent="0.3">
      <c r="A38" s="9" t="s">
        <v>100</v>
      </c>
      <c r="B38">
        <v>6</v>
      </c>
    </row>
    <row r="39" spans="1:2" x14ac:dyDescent="0.3">
      <c r="A39" s="9" t="s">
        <v>94</v>
      </c>
      <c r="B39">
        <v>4</v>
      </c>
    </row>
    <row r="40" spans="1:2" x14ac:dyDescent="0.3">
      <c r="A40" s="9" t="s">
        <v>300</v>
      </c>
      <c r="B40">
        <v>30</v>
      </c>
    </row>
  </sheetData>
  <conditionalFormatting sqref="J1:J31">
    <cfRule type="iconSet" priority="2">
      <iconSet iconSet="3TrafficLights2">
        <cfvo type="percent" val="0"/>
        <cfvo type="percent" val="33"/>
        <cfvo type="percent" val="67"/>
      </iconSet>
    </cfRule>
  </conditionalFormatting>
  <conditionalFormatting sqref="J2:J31">
    <cfRule type="iconSet" priority="1">
      <iconSet iconSet="3TrafficLights2">
        <cfvo type="percent" val="0"/>
        <cfvo type="percent" val="33"/>
        <cfvo type="percent" val="67"/>
      </iconSet>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E5F61-D4F0-4893-8074-D9E90495548D}">
  <dimension ref="A1:C2"/>
  <sheetViews>
    <sheetView workbookViewId="0">
      <selection activeCell="AA2" sqref="AA2"/>
    </sheetView>
  </sheetViews>
  <sheetFormatPr defaultRowHeight="14.4" x14ac:dyDescent="0.3"/>
  <cols>
    <col min="1" max="1" width="13.33203125" bestFit="1" customWidth="1"/>
    <col min="2" max="2" width="23.88671875" bestFit="1" customWidth="1"/>
    <col min="3" max="3" width="27.6640625" bestFit="1" customWidth="1"/>
    <col min="4" max="4" width="34.109375" bestFit="1" customWidth="1"/>
  </cols>
  <sheetData>
    <row r="1" spans="1:3" x14ac:dyDescent="0.3">
      <c r="A1" s="8" t="s">
        <v>88</v>
      </c>
      <c r="B1" t="s">
        <v>302</v>
      </c>
      <c r="C1" t="s">
        <v>303</v>
      </c>
    </row>
    <row r="2" spans="1:3" x14ac:dyDescent="0.3">
      <c r="A2" s="9" t="s">
        <v>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8794E-5F8B-4B07-8746-3AB02929244D}">
  <dimension ref="P11:W38"/>
  <sheetViews>
    <sheetView topLeftCell="A17" workbookViewId="0">
      <selection activeCell="W40" sqref="W40"/>
    </sheetView>
  </sheetViews>
  <sheetFormatPr defaultRowHeight="14.4" x14ac:dyDescent="0.3"/>
  <cols>
    <col min="1" max="1" width="7.21875" style="11" customWidth="1"/>
    <col min="2" max="9" width="8.88671875" style="11"/>
    <col min="10" max="10" width="8.88671875" style="11" customWidth="1"/>
    <col min="11" max="18" width="8.88671875" style="11"/>
    <col min="19" max="19" width="7.88671875" style="11" customWidth="1"/>
    <col min="20" max="22" width="8.88671875" style="11"/>
    <col min="23" max="23" width="15.21875" style="11" customWidth="1"/>
    <col min="24" max="24" width="3.33203125" style="11" customWidth="1"/>
    <col min="25" max="26" width="8.88671875" style="11"/>
    <col min="27" max="27" width="8.88671875" style="11" customWidth="1"/>
    <col min="28" max="16384" width="8.88671875" style="11"/>
  </cols>
  <sheetData>
    <row r="11" spans="22:23" x14ac:dyDescent="0.3">
      <c r="V11" s="8" t="s">
        <v>319</v>
      </c>
      <c r="W11" t="s">
        <v>318</v>
      </c>
    </row>
    <row r="12" spans="22:23" x14ac:dyDescent="0.3">
      <c r="V12" s="9" t="s">
        <v>170</v>
      </c>
      <c r="W12">
        <v>71.428571428571431</v>
      </c>
    </row>
    <row r="13" spans="22:23" x14ac:dyDescent="0.3">
      <c r="V13" s="9" t="s">
        <v>182</v>
      </c>
      <c r="W13">
        <v>99.107142857142861</v>
      </c>
    </row>
    <row r="14" spans="22:23" x14ac:dyDescent="0.3">
      <c r="V14" s="9" t="s">
        <v>107</v>
      </c>
      <c r="W14">
        <v>140.47619047619045</v>
      </c>
    </row>
    <row r="15" spans="22:23" x14ac:dyDescent="0.3">
      <c r="V15" s="9" t="s">
        <v>200</v>
      </c>
      <c r="W15">
        <v>92.222222222222229</v>
      </c>
    </row>
    <row r="16" spans="22:23" x14ac:dyDescent="0.3">
      <c r="V16" s="9" t="s">
        <v>214</v>
      </c>
      <c r="W16">
        <v>88.495575221238937</v>
      </c>
    </row>
    <row r="17" spans="22:23" x14ac:dyDescent="0.3">
      <c r="V17" s="9" t="s">
        <v>111</v>
      </c>
      <c r="W17">
        <v>67.889908256880744</v>
      </c>
    </row>
    <row r="18" spans="22:23" x14ac:dyDescent="0.3">
      <c r="V18" s="9" t="s">
        <v>252</v>
      </c>
      <c r="W18">
        <v>74.137931034482762</v>
      </c>
    </row>
    <row r="19" spans="22:23" x14ac:dyDescent="0.3">
      <c r="V19" s="9" t="s">
        <v>270</v>
      </c>
      <c r="W19">
        <v>143.75</v>
      </c>
    </row>
    <row r="20" spans="22:23" x14ac:dyDescent="0.3">
      <c r="V20" s="9" t="s">
        <v>276</v>
      </c>
      <c r="W20">
        <v>125</v>
      </c>
    </row>
    <row r="21" spans="22:23" x14ac:dyDescent="0.3">
      <c r="V21" s="9" t="s">
        <v>292</v>
      </c>
      <c r="W21">
        <v>56.25</v>
      </c>
    </row>
    <row r="22" spans="22:23" x14ac:dyDescent="0.3">
      <c r="V22" s="9" t="s">
        <v>300</v>
      </c>
      <c r="W22">
        <v>958.75754149672935</v>
      </c>
    </row>
    <row r="36" spans="16:17" x14ac:dyDescent="0.3">
      <c r="P36" s="12"/>
      <c r="Q36" s="12"/>
    </row>
    <row r="37" spans="16:17" x14ac:dyDescent="0.3">
      <c r="P37" s="12"/>
      <c r="Q37" s="12"/>
    </row>
    <row r="38" spans="16:17" x14ac:dyDescent="0.3">
      <c r="P38" s="12"/>
      <c r="Q38" s="12"/>
    </row>
  </sheetData>
  <dataValidations count="1">
    <dataValidation type="whole" allowBlank="1" showInputMessage="1" showErrorMessage="1" sqref="Q37 AC7 AA2 P35 C47" xr:uid="{E83E74A9-F0F5-4809-ACF6-54905188249D}">
      <formula1>0</formula1>
      <formula2>100</formula2>
    </dataValidation>
  </dataValidation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A498A-2A88-4825-BF6A-F901A076C76D}">
  <dimension ref="A1:C4"/>
  <sheetViews>
    <sheetView zoomScaleNormal="100" workbookViewId="0">
      <selection activeCell="A3" sqref="A3"/>
    </sheetView>
  </sheetViews>
  <sheetFormatPr defaultRowHeight="14.4" x14ac:dyDescent="0.3"/>
  <cols>
    <col min="1" max="1" width="18.33203125" bestFit="1" customWidth="1"/>
    <col min="2" max="2" width="24.88671875" bestFit="1" customWidth="1"/>
    <col min="3" max="3" width="27" bestFit="1" customWidth="1"/>
  </cols>
  <sheetData>
    <row r="1" spans="1:3" x14ac:dyDescent="0.3">
      <c r="A1" s="8" t="s">
        <v>299</v>
      </c>
      <c r="B1" t="s">
        <v>315</v>
      </c>
    </row>
    <row r="3" spans="1:3" x14ac:dyDescent="0.3">
      <c r="A3" s="8" t="s">
        <v>88</v>
      </c>
      <c r="B3" t="s">
        <v>305</v>
      </c>
      <c r="C3" t="s">
        <v>304</v>
      </c>
    </row>
    <row r="4" spans="1:3" x14ac:dyDescent="0.3">
      <c r="A4" s="9" t="s">
        <v>300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questions</vt:lpstr>
      <vt:lpstr>Attendance_trend</vt:lpstr>
      <vt:lpstr>KPI</vt:lpstr>
      <vt:lpstr>performance distribution</vt:lpstr>
      <vt:lpstr>Absenteesm</vt:lpstr>
      <vt:lpstr>Employee Performance and Attend</vt:lpstr>
      <vt:lpstr>individual performance</vt:lpstr>
      <vt:lpstr>top10</vt:lpstr>
      <vt:lpstr>underperformer</vt:lpstr>
      <vt:lpstr>Department Performance</vt:lpstr>
      <vt:lpstr>Dashboard</vt:lpstr>
      <vt:lpstr>Department Attendance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A B</dc:creator>
  <cp:lastModifiedBy>Anagha A B</cp:lastModifiedBy>
  <dcterms:created xsi:type="dcterms:W3CDTF">2026-06-08T04:57:09Z</dcterms:created>
  <dcterms:modified xsi:type="dcterms:W3CDTF">2026-06-10T04:20:24Z</dcterms:modified>
</cp:coreProperties>
</file>