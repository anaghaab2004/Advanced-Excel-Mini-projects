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slicers/slicer4.xml" ContentType="application/vnd.ms-excel.slicer+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Ex6.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esktop\Data Analytics\"/>
    </mc:Choice>
  </mc:AlternateContent>
  <xr:revisionPtr revIDLastSave="0" documentId="13_ncr:1_{5D7A327F-687C-4681-AAAE-EBB71BE18DC4}" xr6:coauthVersionLast="47" xr6:coauthVersionMax="47" xr10:uidLastSave="{00000000-0000-0000-0000-000000000000}"/>
  <bookViews>
    <workbookView xWindow="-108" yWindow="-108" windowWidth="23256" windowHeight="12456" firstSheet="3" activeTab="6" xr2:uid="{4C2EBB72-73E0-45DB-9826-435653590C49}"/>
  </bookViews>
  <sheets>
    <sheet name=" Variance Distribution Analysis" sheetId="11" r:id="rId1"/>
    <sheet name=" Interactive Financial Controls" sheetId="10" r:id="rId2"/>
    <sheet name="Dataset" sheetId="1" r:id="rId3"/>
    <sheet name="Questions" sheetId="2" r:id="rId4"/>
    <sheet name="Variance Trend Analysis" sheetId="9" r:id="rId5"/>
    <sheet name="dashboard" sheetId="3" r:id="rId6"/>
    <sheet name="Budget vs Actual Variance" sheetId="5" r:id="rId7"/>
    <sheet name="waterfall implemantation" sheetId="8" r:id="rId8"/>
    <sheet name="KPI" sheetId="4" r:id="rId9"/>
  </sheets>
  <definedNames>
    <definedName name="_xlchart.v1.0" hidden="1">(Dataset!$A$2:$A$101,Dataset!$F$2:$F$101)</definedName>
    <definedName name="_xlchart.v1.1" hidden="1">Dataset!$H$2:$H$101</definedName>
    <definedName name="_xlchart.v1.2" hidden="1">Dataset!$I$2:$I$101</definedName>
    <definedName name="_xlchart.v1.3" hidden="1">Dataset!$F$1</definedName>
    <definedName name="_xlchart.v1.4" hidden="1">Dataset!$F$2:$F$102</definedName>
    <definedName name="_xlchart.v1.5" hidden="1">Dataset!$F$1</definedName>
    <definedName name="_xlchart.v1.6" hidden="1">Dataset!$F$2:$F$102</definedName>
    <definedName name="_xlchart.v1.7" hidden="1">(Dataset!$A$2:$A$101,Dataset!$F$2:$F$101)</definedName>
    <definedName name="_xlchart.v1.8" hidden="1">Dataset!$H$2:$H$101</definedName>
    <definedName name="_xlchart.v1.9" hidden="1">Dataset!$I$2:$I$101</definedName>
    <definedName name="_xlchart.v5.10" hidden="1">'waterfall implemantation'!$A$2:$A$8</definedName>
    <definedName name="_xlchart.v5.11" hidden="1">'waterfall implemantation'!$B$1</definedName>
    <definedName name="_xlchart.v5.12" hidden="1">'waterfall implemantation'!$B$2:$B$8</definedName>
    <definedName name="_xlchart.v5.13" hidden="1">'waterfall implemantation'!$A$2:$A$8</definedName>
    <definedName name="_xlchart.v5.14" hidden="1">'waterfall implemantation'!$B$1</definedName>
    <definedName name="_xlchart.v5.15" hidden="1">'waterfall implemantation'!$B$2:$B$8</definedName>
    <definedName name="Slicer_Department">#N/A</definedName>
    <definedName name="Slicer_Performance_Category">#N/A</definedName>
    <definedName name="Slicer_variance_rang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K5" i="9"/>
  <c r="K6" i="9"/>
  <c r="K7" i="9" s="1"/>
  <c r="K8" i="9" s="1"/>
  <c r="K9" i="9" s="1"/>
  <c r="K10" i="9" s="1"/>
  <c r="K11" i="9" s="1"/>
  <c r="K12" i="9" s="1"/>
  <c r="K13" i="9" s="1"/>
  <c r="K14" i="9" s="1"/>
  <c r="K4" i="9"/>
  <c r="K3" i="9"/>
  <c r="K2" i="1"/>
  <c r="L2" i="1"/>
  <c r="I25" i="1"/>
  <c r="I46" i="1"/>
  <c r="I7" i="1"/>
  <c r="I19" i="1"/>
  <c r="I62" i="1"/>
  <c r="I94" i="1"/>
  <c r="I15" i="1"/>
  <c r="I63" i="1"/>
  <c r="I44" i="1"/>
  <c r="I13" i="1"/>
  <c r="I21" i="1"/>
  <c r="I89" i="1"/>
  <c r="I96" i="1"/>
  <c r="I23" i="1"/>
  <c r="I6" i="1"/>
  <c r="I2" i="1"/>
  <c r="I57" i="1"/>
  <c r="I12" i="1"/>
  <c r="I86" i="1"/>
  <c r="I51" i="1"/>
  <c r="I68" i="1"/>
  <c r="I85" i="1"/>
  <c r="I40" i="1"/>
  <c r="I70" i="1"/>
  <c r="I9" i="1"/>
  <c r="I97" i="1"/>
  <c r="I47" i="1"/>
  <c r="I26" i="1"/>
  <c r="I90" i="1"/>
  <c r="I101" i="1"/>
  <c r="I48" i="1"/>
  <c r="I16" i="1"/>
  <c r="I56" i="1"/>
  <c r="I75" i="1"/>
  <c r="I18" i="1"/>
  <c r="I8" i="1"/>
  <c r="I11" i="1"/>
  <c r="I92" i="1"/>
  <c r="I49" i="1"/>
  <c r="I66" i="1"/>
  <c r="I43" i="1"/>
  <c r="I58" i="1"/>
  <c r="I88" i="1"/>
  <c r="I78" i="1"/>
  <c r="I14" i="1"/>
  <c r="I81" i="1"/>
  <c r="I28" i="1"/>
  <c r="I4" i="1"/>
  <c r="I5" i="1"/>
  <c r="I69" i="1"/>
  <c r="I54" i="1"/>
  <c r="I64" i="1"/>
  <c r="I99" i="1"/>
  <c r="I39" i="1"/>
  <c r="I45" i="1"/>
  <c r="I29" i="1"/>
  <c r="I91" i="1"/>
  <c r="I38" i="1"/>
  <c r="I17" i="1"/>
  <c r="I20" i="1"/>
  <c r="I35" i="1"/>
  <c r="I82" i="1"/>
  <c r="I95" i="1"/>
  <c r="I37" i="1"/>
  <c r="I53" i="1"/>
  <c r="I73" i="1"/>
  <c r="I59" i="1"/>
  <c r="I83" i="1"/>
  <c r="I87" i="1"/>
  <c r="I71" i="1"/>
  <c r="I10" i="1"/>
  <c r="I76" i="1"/>
  <c r="I3" i="1"/>
  <c r="I30" i="1"/>
  <c r="I41" i="1"/>
  <c r="I36" i="1"/>
  <c r="I100" i="1"/>
  <c r="I55" i="1"/>
  <c r="I79" i="1"/>
  <c r="I24" i="1"/>
  <c r="I27" i="1"/>
  <c r="I65" i="1"/>
  <c r="I52" i="1"/>
  <c r="I34" i="1"/>
  <c r="I80" i="1"/>
  <c r="I50" i="1"/>
  <c r="I93" i="1"/>
  <c r="I60" i="1"/>
  <c r="I61" i="1"/>
  <c r="I42" i="1"/>
  <c r="I67" i="1"/>
  <c r="I77" i="1"/>
  <c r="I72" i="1"/>
  <c r="I22" i="1"/>
  <c r="I84" i="1"/>
  <c r="I31" i="1"/>
  <c r="I33" i="1"/>
  <c r="I74" i="1"/>
  <c r="I98" i="1"/>
  <c r="I32" i="1"/>
  <c r="H94" i="1"/>
  <c r="H15" i="1"/>
  <c r="H63" i="1"/>
  <c r="H44" i="1"/>
  <c r="H13" i="1"/>
  <c r="H21" i="1"/>
  <c r="H89" i="1"/>
  <c r="H96" i="1"/>
  <c r="H23" i="1"/>
  <c r="H6" i="1"/>
  <c r="H2" i="1"/>
  <c r="H57" i="1"/>
  <c r="H46" i="1"/>
  <c r="H12" i="1"/>
  <c r="H86" i="1"/>
  <c r="H51" i="1"/>
  <c r="H68" i="1"/>
  <c r="H85" i="1"/>
  <c r="H40" i="1"/>
  <c r="H70" i="1"/>
  <c r="H9" i="1"/>
  <c r="H97" i="1"/>
  <c r="H47" i="1"/>
  <c r="H26" i="1"/>
  <c r="H90" i="1"/>
  <c r="H101" i="1"/>
  <c r="H48" i="1"/>
  <c r="H16" i="1"/>
  <c r="H56" i="1"/>
  <c r="H75" i="1"/>
  <c r="H18" i="1"/>
  <c r="H8" i="1"/>
  <c r="H11" i="1"/>
  <c r="H92" i="1"/>
  <c r="H49" i="1"/>
  <c r="H66" i="1"/>
  <c r="H43" i="1"/>
  <c r="H58" i="1"/>
  <c r="H88" i="1"/>
  <c r="H78" i="1"/>
  <c r="H7" i="1"/>
  <c r="H14" i="1"/>
  <c r="H81" i="1"/>
  <c r="H28" i="1"/>
  <c r="H4" i="1"/>
  <c r="H5" i="1"/>
  <c r="H69" i="1"/>
  <c r="H54" i="1"/>
  <c r="H64" i="1"/>
  <c r="H99" i="1"/>
  <c r="H39" i="1"/>
  <c r="H45" i="1"/>
  <c r="H29" i="1"/>
  <c r="H91" i="1"/>
  <c r="H38" i="1"/>
  <c r="H17" i="1"/>
  <c r="H62" i="1"/>
  <c r="H20" i="1"/>
  <c r="H35" i="1"/>
  <c r="H82" i="1"/>
  <c r="H95" i="1"/>
  <c r="H37" i="1"/>
  <c r="H53" i="1"/>
  <c r="H73" i="1"/>
  <c r="H59" i="1"/>
  <c r="H83" i="1"/>
  <c r="H87" i="1"/>
  <c r="H71" i="1"/>
  <c r="H10" i="1"/>
  <c r="H76" i="1"/>
  <c r="H3" i="1"/>
  <c r="H30" i="1"/>
  <c r="H41" i="1"/>
  <c r="H36" i="1"/>
  <c r="H100" i="1"/>
  <c r="H55" i="1"/>
  <c r="H79" i="1"/>
  <c r="H24" i="1"/>
  <c r="H27" i="1"/>
  <c r="H65" i="1"/>
  <c r="H52" i="1"/>
  <c r="H34" i="1"/>
  <c r="H80" i="1"/>
  <c r="H50" i="1"/>
  <c r="H93" i="1"/>
  <c r="H60" i="1"/>
  <c r="H61" i="1"/>
  <c r="H42" i="1"/>
  <c r="H67" i="1"/>
  <c r="H77" i="1"/>
  <c r="H72" i="1"/>
  <c r="H22" i="1"/>
  <c r="H25" i="1"/>
  <c r="H84" i="1"/>
  <c r="H31" i="1"/>
  <c r="H19" i="1"/>
  <c r="H33" i="1"/>
  <c r="H74" i="1"/>
  <c r="H98" i="1"/>
  <c r="H32" i="1"/>
  <c r="B2" i="8"/>
  <c r="B8" i="8"/>
  <c r="B7" i="8"/>
  <c r="B6" i="8"/>
  <c r="B5" i="8"/>
  <c r="B4" i="8"/>
  <c r="B3" i="8"/>
  <c r="B1" i="4"/>
  <c r="E2" i="4"/>
  <c r="D2" i="4"/>
  <c r="S2" i="1"/>
  <c r="R2" i="1"/>
  <c r="G65" i="1"/>
  <c r="B9" i="4"/>
  <c r="B7" i="4"/>
  <c r="G12" i="1"/>
  <c r="G8" i="1"/>
  <c r="G11" i="1"/>
  <c r="G38" i="1"/>
  <c r="G17" i="1"/>
  <c r="G86" i="1"/>
  <c r="G51" i="1"/>
  <c r="G32" i="1"/>
  <c r="G62" i="1"/>
  <c r="G52" i="1"/>
  <c r="G92" i="1"/>
  <c r="G68" i="1"/>
  <c r="G49" i="1"/>
  <c r="G66" i="1"/>
  <c r="G94" i="1"/>
  <c r="G20" i="1"/>
  <c r="G85" i="1"/>
  <c r="G43" i="1"/>
  <c r="G40" i="1"/>
  <c r="G34" i="1"/>
  <c r="G15" i="1"/>
  <c r="G80" i="1"/>
  <c r="G70" i="1"/>
  <c r="G9" i="1"/>
  <c r="G35" i="1"/>
  <c r="G58" i="1"/>
  <c r="G88" i="1"/>
  <c r="G50" i="1"/>
  <c r="G63" i="1"/>
  <c r="G78" i="1"/>
  <c r="G82" i="1"/>
  <c r="G93" i="1"/>
  <c r="G60" i="1"/>
  <c r="G95" i="1"/>
  <c r="G44" i="1"/>
  <c r="G37" i="1"/>
  <c r="G13" i="1"/>
  <c r="G53" i="1"/>
  <c r="G73" i="1"/>
  <c r="G97" i="1"/>
  <c r="G61" i="1"/>
  <c r="G59" i="1"/>
  <c r="G83" i="1"/>
  <c r="G7" i="1"/>
  <c r="G42" i="1"/>
  <c r="G14" i="1"/>
  <c r="G67" i="1"/>
  <c r="G81" i="1"/>
  <c r="G87" i="1"/>
  <c r="G71" i="1"/>
  <c r="G47" i="1"/>
  <c r="G28" i="1"/>
  <c r="G21" i="1"/>
  <c r="G26" i="1"/>
  <c r="G4" i="1"/>
  <c r="G5" i="1"/>
  <c r="G90" i="1"/>
  <c r="G10" i="1"/>
  <c r="G69" i="1"/>
  <c r="G76" i="1"/>
  <c r="G101" i="1"/>
  <c r="G3" i="1"/>
  <c r="G77" i="1"/>
  <c r="G89" i="1"/>
  <c r="G54" i="1"/>
  <c r="G96" i="1"/>
  <c r="G30" i="1"/>
  <c r="G64" i="1"/>
  <c r="G41" i="1"/>
  <c r="G72" i="1"/>
  <c r="G48" i="1"/>
  <c r="G99" i="1"/>
  <c r="G22" i="1"/>
  <c r="G25" i="1"/>
  <c r="G39" i="1"/>
  <c r="G36" i="1"/>
  <c r="G84" i="1"/>
  <c r="G23" i="1"/>
  <c r="G31" i="1"/>
  <c r="G100" i="1"/>
  <c r="G55" i="1"/>
  <c r="G6" i="1"/>
  <c r="G19" i="1"/>
  <c r="G79" i="1"/>
  <c r="G45" i="1"/>
  <c r="G16" i="1"/>
  <c r="G56" i="1"/>
  <c r="G75" i="1"/>
  <c r="G33" i="1"/>
  <c r="G2" i="1"/>
  <c r="G24" i="1"/>
  <c r="G29" i="1"/>
  <c r="G91" i="1"/>
  <c r="G74" i="1"/>
  <c r="G18" i="1"/>
  <c r="G98" i="1"/>
  <c r="G57" i="1"/>
  <c r="G46" i="1"/>
  <c r="G27" i="1"/>
  <c r="B5" i="4" l="1"/>
</calcChain>
</file>

<file path=xl/sharedStrings.xml><?xml version="1.0" encoding="utf-8"?>
<sst xmlns="http://schemas.openxmlformats.org/spreadsheetml/2006/main" count="439" uniqueCount="125">
  <si>
    <t>Department</t>
  </si>
  <si>
    <t>Month</t>
  </si>
  <si>
    <t>Budget</t>
  </si>
  <si>
    <t>Actual</t>
  </si>
  <si>
    <t>Variance</t>
  </si>
  <si>
    <t>% Variance</t>
  </si>
  <si>
    <t>Sales</t>
  </si>
  <si>
    <t>June</t>
  </si>
  <si>
    <t>HR</t>
  </si>
  <si>
    <t>April</t>
  </si>
  <si>
    <t>IT</t>
  </si>
  <si>
    <t>Marketing</t>
  </si>
  <si>
    <t>February</t>
  </si>
  <si>
    <t>November</t>
  </si>
  <si>
    <t>January</t>
  </si>
  <si>
    <t>Finance</t>
  </si>
  <si>
    <t>December</t>
  </si>
  <si>
    <t>October</t>
  </si>
  <si>
    <t>August</t>
  </si>
  <si>
    <t>March</t>
  </si>
  <si>
    <t>July</t>
  </si>
  <si>
    <t>September</t>
  </si>
  <si>
    <t>May</t>
  </si>
  <si>
    <t>Financial Budget vs. Actual Analysis</t>
  </si>
  <si>
    <t>Objective: Compare budgeted vs. actual financials and generate variance reports.</t>
  </si>
  <si>
    <t>Dataset: Department, Month, Budget, Actual, Variance, % Variance.</t>
  </si>
  <si>
    <t>Tasks:</t>
  </si>
  <si>
    <t>Financial Budget vs. Actual Analysis Dashboard</t>
  </si>
  <si>
    <t>Dashboard Components &amp; Tasks</t>
  </si>
  <si>
    <t>1. Executive Summary KPIs</t>
  </si>
  <si>
    <t>Task: Create a high-level KPI panel showing:</t>
  </si>
  <si>
    <t>Total Budget vs Total Actual YTD</t>
  </si>
  <si>
    <t>Overall Variance (Absolute and Percentage)</t>
  </si>
  <si>
    <t>Number of Departments within/over budget</t>
  </si>
  <si>
    <t>Largest Positive Variance (Favorable)</t>
  </si>
  <si>
    <t>Largest Negative Variance (Unfavorable)</t>
  </si>
  <si>
    <t>2. Budget vs Actual Variance Analysis</t>
  </si>
  <si>
    <t>Task: Build variance comparison charts</t>
  </si>
  <si>
    <t>Side-by-side bar charts (Budget vs Actual) by department</t>
  </si>
  <si>
    <t>Variance bars colored green (positive) and red (negative)</t>
  </si>
  <si>
    <t>Variance percentage labels on each bar</t>
  </si>
  <si>
    <t>Department-wise and month-wise breakdowns</t>
  </si>
  <si>
    <t>3. Waterfall Chart Implementation</t>
  </si>
  <si>
    <t>Task: Create waterfall charts showing budget-to-actual flow</t>
  </si>
  <si>
    <t>Starting point: Initial Budget</t>
  </si>
  <si>
    <t>Intermediate steps: Monthly adjustments/variations</t>
  </si>
  <si>
    <t>End point: Final Actual amount</t>
  </si>
  <si>
    <t>Color coding: Green for positive, red for negative changes</t>
  </si>
  <si>
    <t>4. Variance Trend Analysis</t>
  </si>
  <si>
    <t>Task: Develop time-based variance tracking</t>
  </si>
  <si>
    <t>Monthly variance trend line (% Variance over time)</t>
  </si>
  <si>
    <t>Budget vs Actual trend (Dual-line chart by month)</t>
  </si>
  <si>
    <t>Cumulative variance progression chart</t>
  </si>
  <si>
    <t>5. Department Performance Matrix</t>
  </si>
  <si>
    <t>Task: Create a performance overview table/matrix</t>
  </si>
  <si>
    <t>Department ranking by variance percentage</t>
  </si>
  <si>
    <t>Traffic light system (Green/Yellow/Red) for quick assessment</t>
  </si>
  <si>
    <t>Variance thresholds visualization</t>
  </si>
  <si>
    <t>Top/Bottom 5 departments by performance</t>
  </si>
  <si>
    <t>6. Interactive Financial Controls</t>
  </si>
  <si>
    <t>Task: Implement dynamic filtering options</t>
  </si>
  <si>
    <t>Department selector (multi-select dropdown)</t>
  </si>
  <si>
    <t>Time period filter (Monthly/Quarterly/YTD)</t>
  </si>
  <si>
    <t>Variance threshold slider (Filter by % variance)</t>
  </si>
  <si>
    <t>Performance category filter (Over/Under/Within Budget)</t>
  </si>
  <si>
    <t>7. Variance Distribution Analysis</t>
  </si>
  <si>
    <t>Task: Show statistical distribution of variances</t>
  </si>
  <si>
    <t>Histogram of variance percentages</t>
  </si>
  <si>
    <t>Box plot showing variance distribution across departments</t>
  </si>
  <si>
    <t>Standard deviation and average variance indicators</t>
  </si>
  <si>
    <t>8. Monthly Breakdown Dashboard</t>
  </si>
  <si>
    <t>Task: Create detailed monthly analysis</t>
  </si>
  <si>
    <t>Monthly budget utilization heatmap</t>
  </si>
  <si>
    <t>Rolling 12-month variance analysis</t>
  </si>
  <si>
    <t>Seasonal patterns in budget performance</t>
  </si>
  <si>
    <t>9. Department Drill-Down Capability</t>
  </si>
  <si>
    <t>Task: Enable detailed department-level analysis</t>
  </si>
  <si>
    <t>Click-through functionality from summary to detail</t>
  </si>
  <si>
    <t>Department-specific budget vs actual trends</t>
  </si>
  <si>
    <t>Monthly variance details for selected department</t>
  </si>
  <si>
    <t>10. Executive Financial Report Generator</t>
  </si>
  <si>
    <t>Task: Build automated reporting features</t>
  </si>
  <si>
    <t>One-click report generation with key insights</t>
  </si>
  <si>
    <t>Export functionality (PDF, Excel)</t>
  </si>
  <si>
    <t>Automated commentary based on variance analysis</t>
  </si>
  <si>
    <t>Technical Implementation</t>
  </si>
  <si>
    <t>Variance Calculation Formulas:</t>
  </si>
  <si>
    <t>Variance = Actual - Budget</t>
  </si>
  <si>
    <t>% Variance = ((Actual - Budget) / Budget) * 100</t>
  </si>
  <si>
    <t>Performance Categorization:</t>
  </si>
  <si>
    <t>Within Budget: -5% ≤ Variance ≤ +5%</t>
  </si>
  <si>
    <t>Slightly Over: -10% ≤ Variance &lt; -5%</t>
  </si>
  <si>
    <t>Significantly Over: Variance &lt; -10%</t>
  </si>
  <si>
    <t>Under Budget: Variance &gt; +5%</t>
  </si>
  <si>
    <t>Performance Category</t>
  </si>
  <si>
    <t>Row Labels</t>
  </si>
  <si>
    <t>Grand Total</t>
  </si>
  <si>
    <t>Sum of Actual</t>
  </si>
  <si>
    <t>Sum of Budget</t>
  </si>
  <si>
    <t>Sum of Variance</t>
  </si>
  <si>
    <t>Column Labels</t>
  </si>
  <si>
    <t xml:space="preserve"> </t>
  </si>
  <si>
    <t>total  budget</t>
  </si>
  <si>
    <t>Total Actual</t>
  </si>
  <si>
    <t>Category</t>
  </si>
  <si>
    <t>Value</t>
  </si>
  <si>
    <t>Starting Budget</t>
  </si>
  <si>
    <t>Sales Variance</t>
  </si>
  <si>
    <t>Marketing Variance</t>
  </si>
  <si>
    <t>IT Variance</t>
  </si>
  <si>
    <t>HR Variance</t>
  </si>
  <si>
    <t>Finance Variance</t>
  </si>
  <si>
    <t>Final Actual</t>
  </si>
  <si>
    <t>Average of % Variance</t>
  </si>
  <si>
    <t>Months</t>
  </si>
  <si>
    <t>Total</t>
  </si>
  <si>
    <t>percent variance</t>
  </si>
  <si>
    <t>Task 5: Department Performance Matrix</t>
  </si>
  <si>
    <t>standrad deviation</t>
  </si>
  <si>
    <t>average</t>
  </si>
  <si>
    <t>Cumulative trend Analysis</t>
  </si>
  <si>
    <t>Monthly Variance</t>
  </si>
  <si>
    <t>Cumulative Variance</t>
  </si>
  <si>
    <t>variance range</t>
  </si>
  <si>
    <t>Dataset!A1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</si>
</sst>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2" fillId="0" borderId="0" xfId="0" applyFont="1"/>
    <xf numFmtId="0" fontId="1" fillId="0" borderId="0" xfId="0" applyFont="1"/>
    <xf numFmtId="0" fontId="0" fillId="0" borderId="0" xfId="0" pivotButton="1"/>
    <xf numFmtId="0" fontId="0" fillId="0" borderId="0" xfId="0" applyAlignment="1">
      <alignment horizontal="left"/>
    </xf>
    <xf numFmtId="10" fontId="2" fillId="0" borderId="0" xfId="0" applyNumberFormat="1" applyFont="1"/>
    <xf numFmtId="10" fontId="0" fillId="0" borderId="0" xfId="0" applyNumberFormat="1"/>
    <xf numFmtId="0" fontId="3" fillId="0" borderId="0" xfId="0" applyFont="1"/>
    <xf numFmtId="0" fontId="2" fillId="0" borderId="0" xfId="0" applyFont="1" applyAlignment="1">
      <alignment horizontal="center" vertical="center" wrapText="1"/>
    </xf>
    <xf numFmtId="0" fontId="0" fillId="0" borderId="0" xfId="0" applyAlignment="1">
      <alignment vertical="center" wrapText="1"/>
    </xf>
    <xf numFmtId="4" fontId="0" fillId="0" borderId="0" xfId="0" applyNumberFormat="1" applyAlignment="1">
      <alignment vertical="center" wrapText="1"/>
    </xf>
    <xf numFmtId="10" fontId="0" fillId="0" borderId="0" xfId="0" applyNumberFormat="1" applyAlignment="1">
      <alignment vertical="center" wrapText="1"/>
    </xf>
    <xf numFmtId="0" fontId="2" fillId="0" borderId="1" xfId="0" applyFont="1" applyBorder="1"/>
    <xf numFmtId="0" fontId="0" fillId="0" borderId="1" xfId="0" applyBorder="1"/>
    <xf numFmtId="14" fontId="2" fillId="0" borderId="0" xfId="0" applyNumberFormat="1" applyFont="1"/>
    <xf numFmtId="0" fontId="0" fillId="2" borderId="0" xfId="0" applyFill="1"/>
    <xf numFmtId="0" fontId="4" fillId="2" borderId="0" xfId="1" applyFill="1"/>
  </cellXfs>
  <cellStyles count="2">
    <cellStyle name="Hyperlink" xfId="1" builtinId="8"/>
    <cellStyle name="Normal" xfId="0" builtinId="0"/>
  </cellStyles>
  <dxfs count="7">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BDFF"/>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3.xlsx]Variance Trend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 Variance trend</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'Variance Trend Analysis'!$B$1</c:f>
              <c:strCache>
                <c:ptCount val="1"/>
                <c:pt idx="0">
                  <c:v>Total</c:v>
                </c:pt>
              </c:strCache>
            </c:strRef>
          </c:tx>
          <c:spPr>
            <a:ln w="28575" cap="rnd">
              <a:solidFill>
                <a:schemeClr val="accent1"/>
              </a:solidFill>
              <a:round/>
            </a:ln>
            <a:effectLst/>
          </c:spPr>
          <c:marker>
            <c:symbol val="none"/>
          </c:marker>
          <c:cat>
            <c:strRef>
              <c:f>'Variance Trend 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Analysis'!$B$2:$B$14</c:f>
              <c:numCache>
                <c:formatCode>General</c:formatCode>
                <c:ptCount val="12"/>
                <c:pt idx="0">
                  <c:v>-3.992</c:v>
                </c:pt>
                <c:pt idx="1">
                  <c:v>-3.3311111111111109</c:v>
                </c:pt>
                <c:pt idx="2">
                  <c:v>-14.991111111111113</c:v>
                </c:pt>
                <c:pt idx="3">
                  <c:v>7.3758333333333352</c:v>
                </c:pt>
                <c:pt idx="4">
                  <c:v>3.3820000000000001</c:v>
                </c:pt>
                <c:pt idx="5">
                  <c:v>6.6137500000000005</c:v>
                </c:pt>
                <c:pt idx="6">
                  <c:v>-2.6083333333333325</c:v>
                </c:pt>
                <c:pt idx="7">
                  <c:v>0.73333333333333339</c:v>
                </c:pt>
                <c:pt idx="8">
                  <c:v>-26.524000000000001</c:v>
                </c:pt>
                <c:pt idx="9">
                  <c:v>0.23666666666666636</c:v>
                </c:pt>
                <c:pt idx="10">
                  <c:v>-3.2508333333333326</c:v>
                </c:pt>
                <c:pt idx="11">
                  <c:v>2.9816666666666678</c:v>
                </c:pt>
              </c:numCache>
            </c:numRef>
          </c:val>
          <c:smooth val="0"/>
          <c:extLst>
            <c:ext xmlns:c16="http://schemas.microsoft.com/office/drawing/2014/chart" uri="{C3380CC4-5D6E-409C-BE32-E72D297353CC}">
              <c16:uniqueId val="{00000000-519E-4827-8E0B-202FA6BC4B56}"/>
            </c:ext>
          </c:extLst>
        </c:ser>
        <c:dLbls>
          <c:showLegendKey val="0"/>
          <c:showVal val="0"/>
          <c:showCatName val="0"/>
          <c:showSerName val="0"/>
          <c:showPercent val="0"/>
          <c:showBubbleSize val="0"/>
        </c:dLbls>
        <c:smooth val="0"/>
        <c:axId val="802997855"/>
        <c:axId val="803143599"/>
      </c:lineChart>
      <c:catAx>
        <c:axId val="8029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43599"/>
        <c:crosses val="autoZero"/>
        <c:auto val="1"/>
        <c:lblAlgn val="ctr"/>
        <c:lblOffset val="100"/>
        <c:noMultiLvlLbl val="0"/>
      </c:catAx>
      <c:valAx>
        <c:axId val="80314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9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3.xlsx]Variance Trend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Budget vs Actual dual-line</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'Variance Trend Analysis'!$B$16</c:f>
              <c:strCache>
                <c:ptCount val="1"/>
                <c:pt idx="0">
                  <c:v>Sum of Budget</c:v>
                </c:pt>
              </c:strCache>
            </c:strRef>
          </c:tx>
          <c:spPr>
            <a:ln w="28575" cap="rnd">
              <a:solidFill>
                <a:schemeClr val="accent1"/>
              </a:solidFill>
              <a:round/>
            </a:ln>
            <a:effectLst/>
          </c:spPr>
          <c:marker>
            <c:symbol val="none"/>
          </c:marker>
          <c:cat>
            <c:strRef>
              <c:f>'Variance Trend Analysis'!$A$17:$A$29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Analysis'!$B$17:$B$29</c:f>
              <c:numCache>
                <c:formatCode>General</c:formatCode>
                <c:ptCount val="12"/>
                <c:pt idx="0">
                  <c:v>309801.51999999996</c:v>
                </c:pt>
                <c:pt idx="1">
                  <c:v>272160.36</c:v>
                </c:pt>
                <c:pt idx="2">
                  <c:v>295081.42</c:v>
                </c:pt>
                <c:pt idx="3">
                  <c:v>324507.43</c:v>
                </c:pt>
                <c:pt idx="4">
                  <c:v>152348.97999999998</c:v>
                </c:pt>
                <c:pt idx="5">
                  <c:v>258878.8</c:v>
                </c:pt>
                <c:pt idx="6">
                  <c:v>130667.15</c:v>
                </c:pt>
                <c:pt idx="7">
                  <c:v>186231.11</c:v>
                </c:pt>
                <c:pt idx="8">
                  <c:v>159652</c:v>
                </c:pt>
                <c:pt idx="9">
                  <c:v>238500.24999999997</c:v>
                </c:pt>
                <c:pt idx="10">
                  <c:v>389551.4</c:v>
                </c:pt>
                <c:pt idx="11">
                  <c:v>363459.44</c:v>
                </c:pt>
              </c:numCache>
            </c:numRef>
          </c:val>
          <c:smooth val="0"/>
          <c:extLst>
            <c:ext xmlns:c16="http://schemas.microsoft.com/office/drawing/2014/chart" uri="{C3380CC4-5D6E-409C-BE32-E72D297353CC}">
              <c16:uniqueId val="{00000000-A09A-403A-92FA-79812039C330}"/>
            </c:ext>
          </c:extLst>
        </c:ser>
        <c:ser>
          <c:idx val="1"/>
          <c:order val="1"/>
          <c:tx>
            <c:strRef>
              <c:f>'Variance Trend Analysis'!$C$16</c:f>
              <c:strCache>
                <c:ptCount val="1"/>
                <c:pt idx="0">
                  <c:v>Sum of Actual</c:v>
                </c:pt>
              </c:strCache>
            </c:strRef>
          </c:tx>
          <c:spPr>
            <a:ln w="28575" cap="rnd">
              <a:solidFill>
                <a:schemeClr val="accent2"/>
              </a:solidFill>
              <a:round/>
            </a:ln>
            <a:effectLst/>
          </c:spPr>
          <c:marker>
            <c:symbol val="none"/>
          </c:marker>
          <c:cat>
            <c:strRef>
              <c:f>'Variance Trend Analysis'!$A$17:$A$29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Analysis'!$C$17:$C$29</c:f>
              <c:numCache>
                <c:formatCode>General</c:formatCode>
                <c:ptCount val="12"/>
                <c:pt idx="0">
                  <c:v>299902.86156600004</c:v>
                </c:pt>
                <c:pt idx="1">
                  <c:v>262344.68188000005</c:v>
                </c:pt>
                <c:pt idx="2">
                  <c:v>265819.911723</c:v>
                </c:pt>
                <c:pt idx="3">
                  <c:v>331299.47276000003</c:v>
                </c:pt>
                <c:pt idx="4">
                  <c:v>159247.74502</c:v>
                </c:pt>
                <c:pt idx="5">
                  <c:v>269450.02023999998</c:v>
                </c:pt>
                <c:pt idx="6">
                  <c:v>134780.751835</c:v>
                </c:pt>
                <c:pt idx="7">
                  <c:v>182628.99625999999</c:v>
                </c:pt>
                <c:pt idx="8">
                  <c:v>131819.116625</c:v>
                </c:pt>
                <c:pt idx="9">
                  <c:v>239830.86851</c:v>
                </c:pt>
                <c:pt idx="10">
                  <c:v>375244.26088000002</c:v>
                </c:pt>
                <c:pt idx="11">
                  <c:v>368199.85009800002</c:v>
                </c:pt>
              </c:numCache>
            </c:numRef>
          </c:val>
          <c:smooth val="0"/>
          <c:extLst>
            <c:ext xmlns:c16="http://schemas.microsoft.com/office/drawing/2014/chart" uri="{C3380CC4-5D6E-409C-BE32-E72D297353CC}">
              <c16:uniqueId val="{00000001-A09A-403A-92FA-79812039C330}"/>
            </c:ext>
          </c:extLst>
        </c:ser>
        <c:dLbls>
          <c:showLegendKey val="0"/>
          <c:showVal val="0"/>
          <c:showCatName val="0"/>
          <c:showSerName val="0"/>
          <c:showPercent val="0"/>
          <c:showBubbleSize val="0"/>
        </c:dLbls>
        <c:smooth val="0"/>
        <c:axId val="742745055"/>
        <c:axId val="742752255"/>
      </c:lineChart>
      <c:catAx>
        <c:axId val="7427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52255"/>
        <c:crosses val="autoZero"/>
        <c:auto val="1"/>
        <c:lblAlgn val="ctr"/>
        <c:lblOffset val="100"/>
        <c:noMultiLvlLbl val="0"/>
      </c:catAx>
      <c:valAx>
        <c:axId val="74275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4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Cumulative</a:t>
            </a:r>
            <a:r>
              <a:rPr lang="en-IN" baseline="0"/>
              <a:t> Trend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'Variance Trend Analysis'!$K$2</c:f>
              <c:strCache>
                <c:ptCount val="1"/>
                <c:pt idx="0">
                  <c:v>Cumulative Variance</c:v>
                </c:pt>
              </c:strCache>
            </c:strRef>
          </c:tx>
          <c:spPr>
            <a:ln w="28575" cap="rnd">
              <a:solidFill>
                <a:schemeClr val="accent2"/>
              </a:solidFill>
              <a:round/>
            </a:ln>
            <a:effectLst/>
          </c:spPr>
          <c:marker>
            <c:symbol val="none"/>
          </c:marker>
          <c:cat>
            <c:strRef>
              <c:f>'Variance Trend Analysis'!$I$3:$I$14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Analysis'!$K$3:$K$14</c:f>
              <c:numCache>
                <c:formatCode>General</c:formatCode>
                <c:ptCount val="12"/>
                <c:pt idx="0">
                  <c:v>-9898.6584320000002</c:v>
                </c:pt>
                <c:pt idx="1">
                  <c:v>-19714.336549</c:v>
                </c:pt>
                <c:pt idx="2">
                  <c:v>-48975.844837199998</c:v>
                </c:pt>
                <c:pt idx="3">
                  <c:v>-42183.802099200002</c:v>
                </c:pt>
                <c:pt idx="4">
                  <c:v>-35285.037083200004</c:v>
                </c:pt>
                <c:pt idx="5">
                  <c:v>-24713.816845200003</c:v>
                </c:pt>
                <c:pt idx="6">
                  <c:v>-20600.215014200003</c:v>
                </c:pt>
                <c:pt idx="7">
                  <c:v>-24202.328743100003</c:v>
                </c:pt>
                <c:pt idx="8">
                  <c:v>-52035.212121100005</c:v>
                </c:pt>
                <c:pt idx="9">
                  <c:v>-50704.593602100002</c:v>
                </c:pt>
                <c:pt idx="10">
                  <c:v>-65011.732714400001</c:v>
                </c:pt>
                <c:pt idx="11">
                  <c:v>-60271.322620500003</c:v>
                </c:pt>
              </c:numCache>
            </c:numRef>
          </c:val>
          <c:smooth val="0"/>
          <c:extLst>
            <c:ext xmlns:c16="http://schemas.microsoft.com/office/drawing/2014/chart" uri="{C3380CC4-5D6E-409C-BE32-E72D297353CC}">
              <c16:uniqueId val="{00000001-D17A-404F-A6D9-D86F266AB61A}"/>
            </c:ext>
          </c:extLst>
        </c:ser>
        <c:dLbls>
          <c:showLegendKey val="0"/>
          <c:showVal val="0"/>
          <c:showCatName val="0"/>
          <c:showSerName val="0"/>
          <c:showPercent val="0"/>
          <c:showBubbleSize val="0"/>
        </c:dLbls>
        <c:smooth val="0"/>
        <c:axId val="697911887"/>
        <c:axId val="697909967"/>
        <c:extLst>
          <c:ext xmlns:c15="http://schemas.microsoft.com/office/drawing/2012/chart" uri="{02D57815-91ED-43cb-92C2-25804820EDAC}">
            <c15:filteredLineSeries>
              <c15:ser>
                <c:idx val="0"/>
                <c:order val="0"/>
                <c:tx>
                  <c:strRef>
                    <c:extLst>
                      <c:ext uri="{02D57815-91ED-43cb-92C2-25804820EDAC}">
                        <c15:formulaRef>
                          <c15:sqref>'Variance Trend Analysis'!$J$2</c15:sqref>
                        </c15:formulaRef>
                      </c:ext>
                    </c:extLst>
                    <c:strCache>
                      <c:ptCount val="1"/>
                      <c:pt idx="0">
                        <c:v>Monthly Variance</c:v>
                      </c:pt>
                    </c:strCache>
                  </c:strRef>
                </c:tx>
                <c:spPr>
                  <a:ln w="28575" cap="rnd">
                    <a:solidFill>
                      <a:schemeClr val="accent1"/>
                    </a:solidFill>
                    <a:round/>
                  </a:ln>
                  <a:effectLst/>
                </c:spPr>
                <c:marker>
                  <c:symbol val="none"/>
                </c:marker>
                <c:cat>
                  <c:strRef>
                    <c:extLst>
                      <c:ext uri="{02D57815-91ED-43cb-92C2-25804820EDAC}">
                        <c15:formulaRef>
                          <c15:sqref>'Variance Trend Analysis'!$I$3:$I$14</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'Variance Trend Analysis'!$J$3:$J$14</c15:sqref>
                        </c15:formulaRef>
                      </c:ext>
                    </c:extLst>
                    <c:numCache>
                      <c:formatCode>General</c:formatCode>
                      <c:ptCount val="12"/>
                      <c:pt idx="0">
                        <c:v>-9898.6584320000002</c:v>
                      </c:pt>
                      <c:pt idx="1">
                        <c:v>-9815.6781169999995</c:v>
                      </c:pt>
                      <c:pt idx="2">
                        <c:v>-29261.508288199999</c:v>
                      </c:pt>
                      <c:pt idx="3">
                        <c:v>6792.0427379999965</c:v>
                      </c:pt>
                      <c:pt idx="4">
                        <c:v>6898.7650160000003</c:v>
                      </c:pt>
                      <c:pt idx="5">
                        <c:v>10571.220238</c:v>
                      </c:pt>
                      <c:pt idx="6">
                        <c:v>4113.6018309999999</c:v>
                      </c:pt>
                      <c:pt idx="7">
                        <c:v>-3602.1137288999989</c:v>
                      </c:pt>
                      <c:pt idx="8">
                        <c:v>-27832.883377999999</c:v>
                      </c:pt>
                      <c:pt idx="9">
                        <c:v>1330.6185190000015</c:v>
                      </c:pt>
                      <c:pt idx="10">
                        <c:v>-14307.139112299999</c:v>
                      </c:pt>
                      <c:pt idx="11">
                        <c:v>4740.4100938999973</c:v>
                      </c:pt>
                    </c:numCache>
                  </c:numRef>
                </c:val>
                <c:smooth val="0"/>
                <c:extLst>
                  <c:ext xmlns:c16="http://schemas.microsoft.com/office/drawing/2014/chart" uri="{C3380CC4-5D6E-409C-BE32-E72D297353CC}">
                    <c16:uniqueId val="{00000000-D17A-404F-A6D9-D86F266AB61A}"/>
                  </c:ext>
                </c:extLst>
              </c15:ser>
            </c15:filteredLineSeries>
          </c:ext>
        </c:extLst>
      </c:lineChart>
      <c:catAx>
        <c:axId val="6979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909967"/>
        <c:crosses val="autoZero"/>
        <c:auto val="1"/>
        <c:lblAlgn val="ctr"/>
        <c:lblOffset val="100"/>
        <c:noMultiLvlLbl val="0"/>
      </c:catAx>
      <c:valAx>
        <c:axId val="69790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9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3.xlsx]Variance Trend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 Variance trend</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'Variance Trend Analysis'!$B$1</c:f>
              <c:strCache>
                <c:ptCount val="1"/>
                <c:pt idx="0">
                  <c:v>Total</c:v>
                </c:pt>
              </c:strCache>
            </c:strRef>
          </c:tx>
          <c:spPr>
            <a:ln w="28575" cap="rnd">
              <a:solidFill>
                <a:schemeClr val="accent1"/>
              </a:solidFill>
              <a:round/>
            </a:ln>
            <a:effectLst/>
          </c:spPr>
          <c:marker>
            <c:symbol val="none"/>
          </c:marker>
          <c:cat>
            <c:strRef>
              <c:f>'Variance Trend 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Analysis'!$B$2:$B$14</c:f>
              <c:numCache>
                <c:formatCode>General</c:formatCode>
                <c:ptCount val="12"/>
                <c:pt idx="0">
                  <c:v>-3.992</c:v>
                </c:pt>
                <c:pt idx="1">
                  <c:v>-3.3311111111111109</c:v>
                </c:pt>
                <c:pt idx="2">
                  <c:v>-14.991111111111113</c:v>
                </c:pt>
                <c:pt idx="3">
                  <c:v>7.3758333333333352</c:v>
                </c:pt>
                <c:pt idx="4">
                  <c:v>3.3820000000000001</c:v>
                </c:pt>
                <c:pt idx="5">
                  <c:v>6.6137500000000005</c:v>
                </c:pt>
                <c:pt idx="6">
                  <c:v>-2.6083333333333325</c:v>
                </c:pt>
                <c:pt idx="7">
                  <c:v>0.73333333333333339</c:v>
                </c:pt>
                <c:pt idx="8">
                  <c:v>-26.524000000000001</c:v>
                </c:pt>
                <c:pt idx="9">
                  <c:v>0.23666666666666636</c:v>
                </c:pt>
                <c:pt idx="10">
                  <c:v>-3.2508333333333326</c:v>
                </c:pt>
                <c:pt idx="11">
                  <c:v>2.9816666666666678</c:v>
                </c:pt>
              </c:numCache>
            </c:numRef>
          </c:val>
          <c:smooth val="0"/>
          <c:extLst>
            <c:ext xmlns:c16="http://schemas.microsoft.com/office/drawing/2014/chart" uri="{C3380CC4-5D6E-409C-BE32-E72D297353CC}">
              <c16:uniqueId val="{00000000-C9C7-4741-92BA-7FC583F2DE88}"/>
            </c:ext>
          </c:extLst>
        </c:ser>
        <c:dLbls>
          <c:showLegendKey val="0"/>
          <c:showVal val="0"/>
          <c:showCatName val="0"/>
          <c:showSerName val="0"/>
          <c:showPercent val="0"/>
          <c:showBubbleSize val="0"/>
        </c:dLbls>
        <c:smooth val="0"/>
        <c:axId val="802997855"/>
        <c:axId val="803143599"/>
      </c:lineChart>
      <c:catAx>
        <c:axId val="8029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43599"/>
        <c:crosses val="autoZero"/>
        <c:auto val="1"/>
        <c:lblAlgn val="ctr"/>
        <c:lblOffset val="100"/>
        <c:noMultiLvlLbl val="0"/>
      </c:catAx>
      <c:valAx>
        <c:axId val="80314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9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Cumulative Trend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'Variance Trend Analysis'!$K$2</c:f>
              <c:strCache>
                <c:ptCount val="1"/>
                <c:pt idx="0">
                  <c:v>Cumulative Variance</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cat>
            <c:strRef>
              <c:f>'Variance Trend Analysis'!$I$3:$I$14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Analysis'!$K$3:$K$14</c:f>
              <c:numCache>
                <c:formatCode>General</c:formatCode>
                <c:ptCount val="12"/>
                <c:pt idx="0">
                  <c:v>-9898.6584320000002</c:v>
                </c:pt>
                <c:pt idx="1">
                  <c:v>-19714.336549</c:v>
                </c:pt>
                <c:pt idx="2">
                  <c:v>-48975.844837199998</c:v>
                </c:pt>
                <c:pt idx="3">
                  <c:v>-42183.802099200002</c:v>
                </c:pt>
                <c:pt idx="4">
                  <c:v>-35285.037083200004</c:v>
                </c:pt>
                <c:pt idx="5">
                  <c:v>-24713.816845200003</c:v>
                </c:pt>
                <c:pt idx="6">
                  <c:v>-20600.215014200003</c:v>
                </c:pt>
                <c:pt idx="7">
                  <c:v>-24202.328743100003</c:v>
                </c:pt>
                <c:pt idx="8">
                  <c:v>-52035.212121100005</c:v>
                </c:pt>
                <c:pt idx="9">
                  <c:v>-50704.593602100002</c:v>
                </c:pt>
                <c:pt idx="10">
                  <c:v>-65011.732714400001</c:v>
                </c:pt>
                <c:pt idx="11">
                  <c:v>-60271.322620500003</c:v>
                </c:pt>
              </c:numCache>
            </c:numRef>
          </c:val>
          <c:smooth val="0"/>
          <c:extLst>
            <c:ext xmlns:c16="http://schemas.microsoft.com/office/drawing/2014/chart" uri="{C3380CC4-5D6E-409C-BE32-E72D297353CC}">
              <c16:uniqueId val="{00000000-7724-402B-AFB6-84F711DD16C2}"/>
            </c:ext>
          </c:extLst>
        </c:ser>
        <c:dLbls>
          <c:showLegendKey val="0"/>
          <c:showVal val="0"/>
          <c:showCatName val="0"/>
          <c:showSerName val="0"/>
          <c:showPercent val="0"/>
          <c:showBubbleSize val="0"/>
        </c:dLbls>
        <c:smooth val="0"/>
        <c:axId val="697911887"/>
        <c:axId val="697909967"/>
        <c:extLst>
          <c:ext xmlns:c15="http://schemas.microsoft.com/office/drawing/2012/chart" uri="{02D57815-91ED-43cb-92C2-25804820EDAC}">
            <c15:filteredLineSeries>
              <c15:ser>
                <c:idx val="0"/>
                <c:order val="0"/>
                <c:tx>
                  <c:strRef>
                    <c:extLst>
                      <c:ext uri="{02D57815-91ED-43cb-92C2-25804820EDAC}">
                        <c15:formulaRef>
                          <c15:sqref>'Variance Trend Analysis'!$J$2</c15:sqref>
                        </c15:formulaRef>
                      </c:ext>
                    </c:extLst>
                    <c:strCache>
                      <c:ptCount val="1"/>
                      <c:pt idx="0">
                        <c:v>Monthly Variance</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none"/>
                </c:marker>
                <c:cat>
                  <c:strRef>
                    <c:extLst>
                      <c:ext uri="{02D57815-91ED-43cb-92C2-25804820EDAC}">
                        <c15:formulaRef>
                          <c15:sqref>'Variance Trend Analysis'!$I$3:$I$14</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'Variance Trend Analysis'!$J$3:$J$14</c15:sqref>
                        </c15:formulaRef>
                      </c:ext>
                    </c:extLst>
                    <c:numCache>
                      <c:formatCode>General</c:formatCode>
                      <c:ptCount val="12"/>
                      <c:pt idx="0">
                        <c:v>-9898.6584320000002</c:v>
                      </c:pt>
                      <c:pt idx="1">
                        <c:v>-9815.6781169999995</c:v>
                      </c:pt>
                      <c:pt idx="2">
                        <c:v>-29261.508288199999</c:v>
                      </c:pt>
                      <c:pt idx="3">
                        <c:v>6792.0427379999965</c:v>
                      </c:pt>
                      <c:pt idx="4">
                        <c:v>6898.7650160000003</c:v>
                      </c:pt>
                      <c:pt idx="5">
                        <c:v>10571.220238</c:v>
                      </c:pt>
                      <c:pt idx="6">
                        <c:v>4113.6018309999999</c:v>
                      </c:pt>
                      <c:pt idx="7">
                        <c:v>-3602.1137288999989</c:v>
                      </c:pt>
                      <c:pt idx="8">
                        <c:v>-27832.883377999999</c:v>
                      </c:pt>
                      <c:pt idx="9">
                        <c:v>1330.6185190000015</c:v>
                      </c:pt>
                      <c:pt idx="10">
                        <c:v>-14307.139112299999</c:v>
                      </c:pt>
                      <c:pt idx="11">
                        <c:v>4740.4100938999973</c:v>
                      </c:pt>
                    </c:numCache>
                  </c:numRef>
                </c:val>
                <c:smooth val="0"/>
                <c:extLst>
                  <c:ext xmlns:c16="http://schemas.microsoft.com/office/drawing/2014/chart" uri="{C3380CC4-5D6E-409C-BE32-E72D297353CC}">
                    <c16:uniqueId val="{00000001-7724-402B-AFB6-84F711DD16C2}"/>
                  </c:ext>
                </c:extLst>
              </c15:ser>
            </c15:filteredLineSeries>
          </c:ext>
        </c:extLst>
      </c:lineChart>
      <c:catAx>
        <c:axId val="697911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909967"/>
        <c:crosses val="autoZero"/>
        <c:auto val="1"/>
        <c:lblAlgn val="ctr"/>
        <c:lblOffset val="100"/>
        <c:noMultiLvlLbl val="0"/>
      </c:catAx>
      <c:valAx>
        <c:axId val="69790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9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3.xlsx]Variance Trend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Budget vs Actual dual-line</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'Variance Trend Analysis'!$B$16</c:f>
              <c:strCache>
                <c:ptCount val="1"/>
                <c:pt idx="0">
                  <c:v>Sum of Budget</c:v>
                </c:pt>
              </c:strCache>
            </c:strRef>
          </c:tx>
          <c:spPr>
            <a:ln w="28575" cap="rnd">
              <a:solidFill>
                <a:schemeClr val="accent1"/>
              </a:solidFill>
              <a:round/>
            </a:ln>
            <a:effectLst/>
          </c:spPr>
          <c:marker>
            <c:symbol val="none"/>
          </c:marker>
          <c:cat>
            <c:strRef>
              <c:f>'Variance Trend Analysis'!$A$17:$A$29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Analysis'!$B$17:$B$29</c:f>
              <c:numCache>
                <c:formatCode>General</c:formatCode>
                <c:ptCount val="12"/>
                <c:pt idx="0">
                  <c:v>309801.51999999996</c:v>
                </c:pt>
                <c:pt idx="1">
                  <c:v>272160.36</c:v>
                </c:pt>
                <c:pt idx="2">
                  <c:v>295081.42</c:v>
                </c:pt>
                <c:pt idx="3">
                  <c:v>324507.43</c:v>
                </c:pt>
                <c:pt idx="4">
                  <c:v>152348.97999999998</c:v>
                </c:pt>
                <c:pt idx="5">
                  <c:v>258878.8</c:v>
                </c:pt>
                <c:pt idx="6">
                  <c:v>130667.15</c:v>
                </c:pt>
                <c:pt idx="7">
                  <c:v>186231.11</c:v>
                </c:pt>
                <c:pt idx="8">
                  <c:v>159652</c:v>
                </c:pt>
                <c:pt idx="9">
                  <c:v>238500.24999999997</c:v>
                </c:pt>
                <c:pt idx="10">
                  <c:v>389551.4</c:v>
                </c:pt>
                <c:pt idx="11">
                  <c:v>363459.44</c:v>
                </c:pt>
              </c:numCache>
            </c:numRef>
          </c:val>
          <c:smooth val="0"/>
          <c:extLst>
            <c:ext xmlns:c16="http://schemas.microsoft.com/office/drawing/2014/chart" uri="{C3380CC4-5D6E-409C-BE32-E72D297353CC}">
              <c16:uniqueId val="{00000000-EF82-4371-A8D2-C60D4D54E854}"/>
            </c:ext>
          </c:extLst>
        </c:ser>
        <c:ser>
          <c:idx val="1"/>
          <c:order val="1"/>
          <c:tx>
            <c:strRef>
              <c:f>'Variance Trend Analysis'!$C$16</c:f>
              <c:strCache>
                <c:ptCount val="1"/>
                <c:pt idx="0">
                  <c:v>Sum of Actual</c:v>
                </c:pt>
              </c:strCache>
            </c:strRef>
          </c:tx>
          <c:spPr>
            <a:ln w="28575" cap="rnd">
              <a:solidFill>
                <a:schemeClr val="accent2"/>
              </a:solidFill>
              <a:round/>
            </a:ln>
            <a:effectLst/>
          </c:spPr>
          <c:marker>
            <c:symbol val="none"/>
          </c:marker>
          <c:cat>
            <c:strRef>
              <c:f>'Variance Trend Analysis'!$A$17:$A$29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'Variance Trend Analysis'!$C$17:$C$29</c:f>
              <c:numCache>
                <c:formatCode>General</c:formatCode>
                <c:ptCount val="12"/>
                <c:pt idx="0">
                  <c:v>299902.86156600004</c:v>
                </c:pt>
                <c:pt idx="1">
                  <c:v>262344.68188000005</c:v>
                </c:pt>
                <c:pt idx="2">
                  <c:v>265819.911723</c:v>
                </c:pt>
                <c:pt idx="3">
                  <c:v>331299.47276000003</c:v>
                </c:pt>
                <c:pt idx="4">
                  <c:v>159247.74502</c:v>
                </c:pt>
                <c:pt idx="5">
                  <c:v>269450.02023999998</c:v>
                </c:pt>
                <c:pt idx="6">
                  <c:v>134780.751835</c:v>
                </c:pt>
                <c:pt idx="7">
                  <c:v>182628.99625999999</c:v>
                </c:pt>
                <c:pt idx="8">
                  <c:v>131819.116625</c:v>
                </c:pt>
                <c:pt idx="9">
                  <c:v>239830.86851</c:v>
                </c:pt>
                <c:pt idx="10">
                  <c:v>375244.26088000002</c:v>
                </c:pt>
                <c:pt idx="11">
                  <c:v>368199.85009800002</c:v>
                </c:pt>
              </c:numCache>
            </c:numRef>
          </c:val>
          <c:smooth val="0"/>
          <c:extLst>
            <c:ext xmlns:c16="http://schemas.microsoft.com/office/drawing/2014/chart" uri="{C3380CC4-5D6E-409C-BE32-E72D297353CC}">
              <c16:uniqueId val="{00000001-EF82-4371-A8D2-C60D4D54E854}"/>
            </c:ext>
          </c:extLst>
        </c:ser>
        <c:dLbls>
          <c:showLegendKey val="0"/>
          <c:showVal val="0"/>
          <c:showCatName val="0"/>
          <c:showSerName val="0"/>
          <c:showPercent val="0"/>
          <c:showBubbleSize val="0"/>
        </c:dLbls>
        <c:smooth val="0"/>
        <c:axId val="742745055"/>
        <c:axId val="742752255"/>
      </c:lineChart>
      <c:catAx>
        <c:axId val="7427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52255"/>
        <c:crosses val="autoZero"/>
        <c:auto val="1"/>
        <c:lblAlgn val="ctr"/>
        <c:lblOffset val="100"/>
        <c:noMultiLvlLbl val="0"/>
      </c:catAx>
      <c:valAx>
        <c:axId val="74275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4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miniproject 3.xlsx]Budget vs Actual Variance!PivotTable5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Budget vs Actual</a:t>
            </a:r>
          </a:p>
        </c:rich>
      </c:tx>
      <c:layout>
        <c:manualLayout>
          <c:xMode val="edge"/>
          <c:yMode val="edge"/>
          <c:x val="0.38897900262467194"/>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3917534501736"/>
          <c:y val="0.27984444604974834"/>
          <c:w val="0.47548111929557191"/>
          <c:h val="0.57215391654024894"/>
        </c:manualLayout>
      </c:layout>
      <c:barChart>
        <c:barDir val="bar"/>
        <c:grouping val="clustered"/>
        <c:varyColors val="0"/>
        <c:ser>
          <c:idx val="0"/>
          <c:order val="0"/>
          <c:tx>
            <c:strRef>
              <c:f>'Budget vs Actual Variance'!$B$1</c:f>
              <c:strCache>
                <c:ptCount val="1"/>
                <c:pt idx="0">
                  <c:v>Sum of Actual</c:v>
                </c:pt>
              </c:strCache>
            </c:strRef>
          </c:tx>
          <c:spPr>
            <a:solidFill>
              <a:schemeClr val="accent6">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'Budget vs Actual Variance'!$A$2:$A$7</c:f>
              <c:strCache>
                <c:ptCount val="5"/>
                <c:pt idx="0">
                  <c:v>Finance</c:v>
                </c:pt>
                <c:pt idx="1">
                  <c:v>HR</c:v>
                </c:pt>
                <c:pt idx="2">
                  <c:v>IT</c:v>
                </c:pt>
                <c:pt idx="3">
                  <c:v>Marketing</c:v>
                </c:pt>
                <c:pt idx="4">
                  <c:v>Sales</c:v>
                </c:pt>
              </c:strCache>
            </c:strRef>
          </c:cat>
          <c:val>
            <c:numRef>
              <c:f>'Budget vs Actual Variance'!$B$2:$B$7</c:f>
              <c:numCache>
                <c:formatCode>General</c:formatCode>
                <c:ptCount val="5"/>
                <c:pt idx="0">
                  <c:v>469924.88322000002</c:v>
                </c:pt>
                <c:pt idx="1">
                  <c:v>579626.85630499991</c:v>
                </c:pt>
                <c:pt idx="2">
                  <c:v>715768.88606299995</c:v>
                </c:pt>
                <c:pt idx="3">
                  <c:v>720364.02011399996</c:v>
                </c:pt>
                <c:pt idx="4">
                  <c:v>534883.891695</c:v>
                </c:pt>
              </c:numCache>
            </c:numRef>
          </c:val>
          <c:extLst>
            <c:ext xmlns:c16="http://schemas.microsoft.com/office/drawing/2014/chart" uri="{C3380CC4-5D6E-409C-BE32-E72D297353CC}">
              <c16:uniqueId val="{00000000-78E3-4401-93EE-00780902D985}"/>
            </c:ext>
          </c:extLst>
        </c:ser>
        <c:ser>
          <c:idx val="1"/>
          <c:order val="1"/>
          <c:tx>
            <c:strRef>
              <c:f>'Budget vs Actual Variance'!$C$1</c:f>
              <c:strCache>
                <c:ptCount val="1"/>
                <c:pt idx="0">
                  <c:v>Sum of Budget</c:v>
                </c:pt>
              </c:strCache>
            </c:strRef>
          </c:tx>
          <c:spPr>
            <a:solidFill>
              <a:schemeClr val="accent6">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'Budget vs Actual Variance'!$A$2:$A$7</c:f>
              <c:strCache>
                <c:ptCount val="5"/>
                <c:pt idx="0">
                  <c:v>Finance</c:v>
                </c:pt>
                <c:pt idx="1">
                  <c:v>HR</c:v>
                </c:pt>
                <c:pt idx="2">
                  <c:v>IT</c:v>
                </c:pt>
                <c:pt idx="3">
                  <c:v>Marketing</c:v>
                </c:pt>
                <c:pt idx="4">
                  <c:v>Sales</c:v>
                </c:pt>
              </c:strCache>
            </c:strRef>
          </c:cat>
          <c:val>
            <c:numRef>
              <c:f>'Budget vs Actual Variance'!$C$2:$C$7</c:f>
              <c:numCache>
                <c:formatCode>General</c:formatCode>
                <c:ptCount val="5"/>
                <c:pt idx="0">
                  <c:v>476863.21000000008</c:v>
                </c:pt>
                <c:pt idx="1">
                  <c:v>599259.40999999992</c:v>
                </c:pt>
                <c:pt idx="2">
                  <c:v>715419.45</c:v>
                </c:pt>
                <c:pt idx="3">
                  <c:v>725453.53999999992</c:v>
                </c:pt>
                <c:pt idx="4">
                  <c:v>563844.25</c:v>
                </c:pt>
              </c:numCache>
            </c:numRef>
          </c:val>
          <c:extLst>
            <c:ext xmlns:c16="http://schemas.microsoft.com/office/drawing/2014/chart" uri="{C3380CC4-5D6E-409C-BE32-E72D297353CC}">
              <c16:uniqueId val="{00000001-78E3-4401-93EE-00780902D985}"/>
            </c:ext>
          </c:extLst>
        </c:ser>
        <c:dLbls>
          <c:dLblPos val="inEnd"/>
          <c:showLegendKey val="0"/>
          <c:showVal val="1"/>
          <c:showCatName val="0"/>
          <c:showSerName val="0"/>
          <c:showPercent val="0"/>
          <c:showBubbleSize val="0"/>
        </c:dLbls>
        <c:gapWidth val="65"/>
        <c:axId val="446243247"/>
        <c:axId val="446226927"/>
      </c:barChart>
      <c:catAx>
        <c:axId val="4462432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6226927"/>
        <c:crosses val="autoZero"/>
        <c:auto val="1"/>
        <c:lblAlgn val="ctr"/>
        <c:lblOffset val="100"/>
        <c:noMultiLvlLbl val="0"/>
      </c:catAx>
      <c:valAx>
        <c:axId val="4462269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62432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miniproject 3.xlsx]Budget vs Actual Variance!PivotTable6</c:name>
    <c:fmtId val="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'Budget vs Actual Variance'!$B$16</c:f>
              <c:strCache>
                <c:ptCount val="1"/>
                <c:pt idx="0">
                  <c:v>Sum of Budget</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Variance'!$B$17:$B$22</c:f>
              <c:numCache>
                <c:formatCode>General</c:formatCode>
                <c:ptCount val="5"/>
                <c:pt idx="0">
                  <c:v>476863.21000000008</c:v>
                </c:pt>
                <c:pt idx="1">
                  <c:v>599259.40999999992</c:v>
                </c:pt>
                <c:pt idx="2">
                  <c:v>715419.45</c:v>
                </c:pt>
                <c:pt idx="3">
                  <c:v>725453.53999999992</c:v>
                </c:pt>
                <c:pt idx="4">
                  <c:v>563844.25</c:v>
                </c:pt>
              </c:numCache>
            </c:numRef>
          </c:val>
          <c:extLst>
            <c:ext xmlns:c16="http://schemas.microsoft.com/office/drawing/2014/chart" uri="{C3380CC4-5D6E-409C-BE32-E72D297353CC}">
              <c16:uniqueId val="{00000000-079F-4D28-8BC8-52AE66E585C0}"/>
            </c:ext>
          </c:extLst>
        </c:ser>
        <c:ser>
          <c:idx val="1"/>
          <c:order val="1"/>
          <c:tx>
            <c:strRef>
              <c:f>'Budget vs Actual Variance'!$C$16</c:f>
              <c:strCache>
                <c:ptCount val="1"/>
                <c:pt idx="0">
                  <c:v>Sum of Actual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Variance'!$C$17:$C$22</c:f>
              <c:numCache>
                <c:formatCode>General</c:formatCode>
                <c:ptCount val="5"/>
                <c:pt idx="0">
                  <c:v>469924.88322000002</c:v>
                </c:pt>
                <c:pt idx="1">
                  <c:v>579626.85630499991</c:v>
                </c:pt>
                <c:pt idx="2">
                  <c:v>715768.88606299995</c:v>
                </c:pt>
                <c:pt idx="3">
                  <c:v>720364.02011399996</c:v>
                </c:pt>
                <c:pt idx="4">
                  <c:v>534883.891695</c:v>
                </c:pt>
              </c:numCache>
            </c:numRef>
          </c:val>
          <c:extLst>
            <c:ext xmlns:c16="http://schemas.microsoft.com/office/drawing/2014/chart" uri="{C3380CC4-5D6E-409C-BE32-E72D297353CC}">
              <c16:uniqueId val="{00000001-079F-4D28-8BC8-52AE66E585C0}"/>
            </c:ext>
          </c:extLst>
        </c:ser>
        <c:ser>
          <c:idx val="2"/>
          <c:order val="2"/>
          <c:tx>
            <c:strRef>
              <c:f>'Budget vs Actual Variance'!$D$16</c:f>
              <c:strCache>
                <c:ptCount val="1"/>
                <c:pt idx="0">
                  <c:v>Sum of Variance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Variance'!$D$17:$D$22</c:f>
              <c:numCache>
                <c:formatCode>General</c:formatCode>
                <c:ptCount val="5"/>
                <c:pt idx="0">
                  <c:v>-6938.3267885999985</c:v>
                </c:pt>
                <c:pt idx="1">
                  <c:v>-19632.553719</c:v>
                </c:pt>
                <c:pt idx="2">
                  <c:v>349.43608999999742</c:v>
                </c:pt>
                <c:pt idx="3">
                  <c:v>-5089.5198969000003</c:v>
                </c:pt>
                <c:pt idx="4">
                  <c:v>-28960.358305999998</c:v>
                </c:pt>
              </c:numCache>
            </c:numRef>
          </c:val>
          <c:extLst>
            <c:ext xmlns:c16="http://schemas.microsoft.com/office/drawing/2014/chart" uri="{C3380CC4-5D6E-409C-BE32-E72D297353CC}">
              <c16:uniqueId val="{00000002-079F-4D28-8BC8-52AE66E585C0}"/>
            </c:ext>
          </c:extLst>
        </c:ser>
        <c:dLbls>
          <c:dLblPos val="ctr"/>
          <c:showLegendKey val="0"/>
          <c:showVal val="1"/>
          <c:showCatName val="0"/>
          <c:showSerName val="0"/>
          <c:showPercent val="0"/>
          <c:showBubbleSize val="0"/>
        </c:dLbls>
        <c:gapWidth val="150"/>
        <c:overlap val="100"/>
        <c:axId val="843736927"/>
        <c:axId val="843738367"/>
      </c:barChart>
      <c:catAx>
        <c:axId val="84373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38367"/>
        <c:crosses val="autoZero"/>
        <c:auto val="1"/>
        <c:lblAlgn val="ctr"/>
        <c:lblOffset val="100"/>
        <c:noMultiLvlLbl val="0"/>
      </c:catAx>
      <c:valAx>
        <c:axId val="84373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3.xlsx]Budget vs Actual Variance!PivotTable5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vs Actual</a:t>
            </a:r>
            <a:endParaRPr lang="en-IN"/>
          </a:p>
        </c:rich>
      </c:tx>
      <c:layout>
        <c:manualLayout>
          <c:xMode val="edge"/>
          <c:yMode val="edge"/>
          <c:x val="0.3889790026246719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'Budget vs Actual Variance'!$B$1</c:f>
              <c:strCache>
                <c:ptCount val="1"/>
                <c:pt idx="0">
                  <c:v>Sum of Actual</c:v>
                </c:pt>
              </c:strCache>
            </c:strRef>
          </c:tx>
          <c:spPr>
            <a:solidFill>
              <a:schemeClr val="accent1"/>
            </a:solidFill>
            <a:ln>
              <a:noFill/>
            </a:ln>
            <a:effectLst/>
          </c:spPr>
          <c:invertIfNegative val="0"/>
          <c:cat>
            <c:strRef>
              <c:f>'Budget vs Actual Variance'!$A$2:$A$7</c:f>
              <c:strCache>
                <c:ptCount val="5"/>
                <c:pt idx="0">
                  <c:v>Finance</c:v>
                </c:pt>
                <c:pt idx="1">
                  <c:v>HR</c:v>
                </c:pt>
                <c:pt idx="2">
                  <c:v>IT</c:v>
                </c:pt>
                <c:pt idx="3">
                  <c:v>Marketing</c:v>
                </c:pt>
                <c:pt idx="4">
                  <c:v>Sales</c:v>
                </c:pt>
              </c:strCache>
            </c:strRef>
          </c:cat>
          <c:val>
            <c:numRef>
              <c:f>'Budget vs Actual Variance'!$B$2:$B$7</c:f>
              <c:numCache>
                <c:formatCode>General</c:formatCode>
                <c:ptCount val="5"/>
                <c:pt idx="0">
                  <c:v>469924.88322000002</c:v>
                </c:pt>
                <c:pt idx="1">
                  <c:v>579626.85630499991</c:v>
                </c:pt>
                <c:pt idx="2">
                  <c:v>715768.88606299995</c:v>
                </c:pt>
                <c:pt idx="3">
                  <c:v>720364.02011399996</c:v>
                </c:pt>
                <c:pt idx="4">
                  <c:v>534883.891695</c:v>
                </c:pt>
              </c:numCache>
            </c:numRef>
          </c:val>
          <c:extLst>
            <c:ext xmlns:c16="http://schemas.microsoft.com/office/drawing/2014/chart" uri="{C3380CC4-5D6E-409C-BE32-E72D297353CC}">
              <c16:uniqueId val="{00000000-48EB-4970-A421-4573FBADAAA5}"/>
            </c:ext>
          </c:extLst>
        </c:ser>
        <c:ser>
          <c:idx val="1"/>
          <c:order val="1"/>
          <c:tx>
            <c:strRef>
              <c:f>'Budget vs Actual Variance'!$C$1</c:f>
              <c:strCache>
                <c:ptCount val="1"/>
                <c:pt idx="0">
                  <c:v>Sum of Budget</c:v>
                </c:pt>
              </c:strCache>
            </c:strRef>
          </c:tx>
          <c:spPr>
            <a:solidFill>
              <a:schemeClr val="accent2"/>
            </a:solidFill>
            <a:ln>
              <a:noFill/>
            </a:ln>
            <a:effectLst/>
          </c:spPr>
          <c:invertIfNegative val="0"/>
          <c:cat>
            <c:strRef>
              <c:f>'Budget vs Actual Variance'!$A$2:$A$7</c:f>
              <c:strCache>
                <c:ptCount val="5"/>
                <c:pt idx="0">
                  <c:v>Finance</c:v>
                </c:pt>
                <c:pt idx="1">
                  <c:v>HR</c:v>
                </c:pt>
                <c:pt idx="2">
                  <c:v>IT</c:v>
                </c:pt>
                <c:pt idx="3">
                  <c:v>Marketing</c:v>
                </c:pt>
                <c:pt idx="4">
                  <c:v>Sales</c:v>
                </c:pt>
              </c:strCache>
            </c:strRef>
          </c:cat>
          <c:val>
            <c:numRef>
              <c:f>'Budget vs Actual Variance'!$C$2:$C$7</c:f>
              <c:numCache>
                <c:formatCode>General</c:formatCode>
                <c:ptCount val="5"/>
                <c:pt idx="0">
                  <c:v>476863.21000000008</c:v>
                </c:pt>
                <c:pt idx="1">
                  <c:v>599259.40999999992</c:v>
                </c:pt>
                <c:pt idx="2">
                  <c:v>715419.45</c:v>
                </c:pt>
                <c:pt idx="3">
                  <c:v>725453.53999999992</c:v>
                </c:pt>
                <c:pt idx="4">
                  <c:v>563844.25</c:v>
                </c:pt>
              </c:numCache>
            </c:numRef>
          </c:val>
          <c:extLst>
            <c:ext xmlns:c16="http://schemas.microsoft.com/office/drawing/2014/chart" uri="{C3380CC4-5D6E-409C-BE32-E72D297353CC}">
              <c16:uniqueId val="{00000001-48EB-4970-A421-4573FBADAAA5}"/>
            </c:ext>
          </c:extLst>
        </c:ser>
        <c:dLbls>
          <c:showLegendKey val="0"/>
          <c:showVal val="0"/>
          <c:showCatName val="0"/>
          <c:showSerName val="0"/>
          <c:showPercent val="0"/>
          <c:showBubbleSize val="0"/>
        </c:dLbls>
        <c:gapWidth val="182"/>
        <c:axId val="446243247"/>
        <c:axId val="446226927"/>
      </c:barChart>
      <c:catAx>
        <c:axId val="44624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26927"/>
        <c:crosses val="autoZero"/>
        <c:auto val="1"/>
        <c:lblAlgn val="ctr"/>
        <c:lblOffset val="100"/>
        <c:noMultiLvlLbl val="0"/>
      </c:catAx>
      <c:valAx>
        <c:axId val="44622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4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3.xlsx]Budget vs Actual Variance!PivotTable6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'Budget vs Actual Variance'!$B$16</c:f>
              <c:strCache>
                <c:ptCount val="1"/>
                <c:pt idx="0">
                  <c:v>Sum of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Variance'!$B$17:$B$22</c:f>
              <c:numCache>
                <c:formatCode>General</c:formatCode>
                <c:ptCount val="5"/>
                <c:pt idx="0">
                  <c:v>476863.21000000008</c:v>
                </c:pt>
                <c:pt idx="1">
                  <c:v>599259.40999999992</c:v>
                </c:pt>
                <c:pt idx="2">
                  <c:v>715419.45</c:v>
                </c:pt>
                <c:pt idx="3">
                  <c:v>725453.53999999992</c:v>
                </c:pt>
                <c:pt idx="4">
                  <c:v>563844.25</c:v>
                </c:pt>
              </c:numCache>
            </c:numRef>
          </c:val>
          <c:extLst>
            <c:ext xmlns:c16="http://schemas.microsoft.com/office/drawing/2014/chart" uri="{C3380CC4-5D6E-409C-BE32-E72D297353CC}">
              <c16:uniqueId val="{00000000-B276-44AC-9031-33E412D52455}"/>
            </c:ext>
          </c:extLst>
        </c:ser>
        <c:ser>
          <c:idx val="1"/>
          <c:order val="1"/>
          <c:tx>
            <c:strRef>
              <c:f>'Budget vs Actual Variance'!$C$16</c:f>
              <c:strCache>
                <c:ptCount val="1"/>
                <c:pt idx="0">
                  <c:v>Sum of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Variance'!$C$17:$C$22</c:f>
              <c:numCache>
                <c:formatCode>General</c:formatCode>
                <c:ptCount val="5"/>
                <c:pt idx="0">
                  <c:v>469924.88322000002</c:v>
                </c:pt>
                <c:pt idx="1">
                  <c:v>579626.85630499991</c:v>
                </c:pt>
                <c:pt idx="2">
                  <c:v>715768.88606299995</c:v>
                </c:pt>
                <c:pt idx="3">
                  <c:v>720364.02011399996</c:v>
                </c:pt>
                <c:pt idx="4">
                  <c:v>534883.891695</c:v>
                </c:pt>
              </c:numCache>
            </c:numRef>
          </c:val>
          <c:extLst>
            <c:ext xmlns:c16="http://schemas.microsoft.com/office/drawing/2014/chart" uri="{C3380CC4-5D6E-409C-BE32-E72D297353CC}">
              <c16:uniqueId val="{00000001-B276-44AC-9031-33E412D52455}"/>
            </c:ext>
          </c:extLst>
        </c:ser>
        <c:ser>
          <c:idx val="2"/>
          <c:order val="2"/>
          <c:tx>
            <c:strRef>
              <c:f>'Budget vs Actual Variance'!$D$16</c:f>
              <c:strCache>
                <c:ptCount val="1"/>
                <c:pt idx="0">
                  <c:v>Sum of Variance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vs Actual Variance'!$A$17:$A$22</c:f>
              <c:strCache>
                <c:ptCount val="5"/>
                <c:pt idx="0">
                  <c:v>Finance</c:v>
                </c:pt>
                <c:pt idx="1">
                  <c:v>HR</c:v>
                </c:pt>
                <c:pt idx="2">
                  <c:v>IT</c:v>
                </c:pt>
                <c:pt idx="3">
                  <c:v>Marketing</c:v>
                </c:pt>
                <c:pt idx="4">
                  <c:v>Sales</c:v>
                </c:pt>
              </c:strCache>
            </c:strRef>
          </c:cat>
          <c:val>
            <c:numRef>
              <c:f>'Budget vs Actual Variance'!$D$17:$D$22</c:f>
              <c:numCache>
                <c:formatCode>General</c:formatCode>
                <c:ptCount val="5"/>
                <c:pt idx="0">
                  <c:v>-6938.3267885999985</c:v>
                </c:pt>
                <c:pt idx="1">
                  <c:v>-19632.553719</c:v>
                </c:pt>
                <c:pt idx="2">
                  <c:v>349.43608999999742</c:v>
                </c:pt>
                <c:pt idx="3">
                  <c:v>-5089.5198969000003</c:v>
                </c:pt>
                <c:pt idx="4">
                  <c:v>-28960.358305999998</c:v>
                </c:pt>
              </c:numCache>
            </c:numRef>
          </c:val>
          <c:extLst>
            <c:ext xmlns:c16="http://schemas.microsoft.com/office/drawing/2014/chart" uri="{C3380CC4-5D6E-409C-BE32-E72D297353CC}">
              <c16:uniqueId val="{00000002-B276-44AC-9031-33E412D52455}"/>
            </c:ext>
          </c:extLst>
        </c:ser>
        <c:dLbls>
          <c:dLblPos val="ctr"/>
          <c:showLegendKey val="0"/>
          <c:showVal val="1"/>
          <c:showCatName val="0"/>
          <c:showSerName val="0"/>
          <c:showPercent val="0"/>
          <c:showBubbleSize val="0"/>
        </c:dLbls>
        <c:gapWidth val="150"/>
        <c:overlap val="100"/>
        <c:axId val="843736927"/>
        <c:axId val="843738367"/>
      </c:barChart>
      <c:catAx>
        <c:axId val="84373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38367"/>
        <c:crosses val="autoZero"/>
        <c:auto val="1"/>
        <c:lblAlgn val="ctr"/>
        <c:lblOffset val="100"/>
        <c:noMultiLvlLbl val="0"/>
      </c:catAx>
      <c:valAx>
        <c:axId val="84373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IN" b="1"/>
              <a:t>% Variance</a:t>
            </a:r>
            <a:r>
              <a:rPr lang="en-IN"/>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75B004A1-60FD-4F32-AC95-F1B09139132E}">
          <cx:tx>
            <cx:txData>
              <cx:f>_xlchart.v1.3</cx:f>
              <cx:v>% Variance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014EC2C0-9F72-48C5-A521-97C357C2BD87}">
          <cx:dataId val="0"/>
          <cx:layoutPr>
            <cx:visibility meanLine="0" meanMarker="1" nonoutliers="0" outliers="1"/>
            <cx:statistics quartileMethod="exclusive"/>
          </cx:layoutPr>
        </cx:series>
        <cx:series layoutId="boxWhisker" uniqueId="{3ED16EC9-EAF6-451D-AFD6-E194BF69391B}">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IN" b="1"/>
              <a:t>% Variance</a:t>
            </a:r>
            <a:r>
              <a:rPr lang="en-IN"/>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75B004A1-60FD-4F32-AC95-F1B09139132E}">
          <cx:tx>
            <cx:txData>
              <cx:f>_xlchart.v1.5</cx:f>
              <cx:v>% Variance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data id="1">
      <cx:strDim type="cat">
        <cx:f>_xlchart.v1.7</cx:f>
      </cx:strDim>
      <cx:numDim type="val">
        <cx:f>_xlchart.v1.9</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014EC2C0-9F72-48C5-A521-97C357C2BD87}">
          <cx:dataId val="0"/>
          <cx:layoutPr>
            <cx:visibility meanLine="0" meanMarker="1" nonoutliers="0" outliers="1"/>
            <cx:statistics quartileMethod="exclusive"/>
          </cx:layoutPr>
        </cx:series>
        <cx:series layoutId="boxWhisker" uniqueId="{3ED16EC9-EAF6-451D-AFD6-E194BF69391B}">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_xlchart.v5.10</cx:f>
      </cx:strDim>
      <cx:numDim type="val">
        <cx:f>_xlchart.v5.12</cx:f>
      </cx:numDim>
    </cx:data>
  </cx:chartData>
  <cx:chart>
    <cx:title pos="t" align="ctr" overlay="0">
      <cx:tx>
        <cx:txData>
          <cx:v> udget-to-actual flow</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udget-to-actual flow</a:t>
          </a:r>
        </a:p>
      </cx:txPr>
    </cx:title>
    <cx:plotArea>
      <cx:plotAreaRegion>
        <cx:series layoutId="waterfall" uniqueId="{40D8761C-3F98-4417-A036-92178C452012}">
          <cx:tx>
            <cx:txData>
              <cx:f>_xlchart.v5.11</cx:f>
              <cx:v>Value</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chemeClr val="accent6">
            <a:lumMod val="50000"/>
          </a:schemeClr>
        </a:solidFill>
      </cx:spPr>
    </cx:fmtOvr>
    <cx:fmtOvr idx="2">
      <cx:spPr>
        <a:solidFill>
          <a:schemeClr val="accent1">
            <a:lumMod val="75000"/>
          </a:schemeClr>
        </a:solidFill>
      </cx:spPr>
    </cx:fmtOvr>
  </cx:fmtOvrs>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_xlchart.v5.13</cx:f>
      </cx:strDim>
      <cx:numDim type="val">
        <cx:f>_xlchart.v5.15</cx:f>
      </cx:numDim>
    </cx:data>
  </cx:chartData>
  <cx:chart>
    <cx:title pos="t" align="ctr" overlay="0">
      <cx:tx>
        <cx:txData>
          <cx:v> udget-to-actual flow</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udget-to-actual flow</a:t>
          </a:r>
        </a:p>
      </cx:txPr>
    </cx:title>
    <cx:plotArea>
      <cx:plotAreaRegion>
        <cx:series layoutId="waterfall" uniqueId="{40D8761C-3F98-4417-A036-92178C452012}">
          <cx:tx>
            <cx:txData>
              <cx:f>_xlchart.v5.14</cx:f>
              <cx:v>Value</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chemeClr val="accent6">
            <a:lumMod val="50000"/>
          </a:schemeClr>
        </a:solidFill>
      </cx:spPr>
    </cx:fmtOvr>
    <cx:fmtOvr idx="2">
      <cx:spPr>
        <a:solidFill>
          <a:schemeClr val="accent1">
            <a:lumMod val="75000"/>
          </a:schemeClr>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4.xml"/><Relationship Id="rId7" Type="http://schemas.openxmlformats.org/officeDocument/2006/relationships/chart" Target="../charts/chart8.xml"/><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hyperlink" Target="#Dataset!A1"/></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68580</xdr:rowOff>
    </xdr:from>
    <xdr:to>
      <xdr:col>7</xdr:col>
      <xdr:colOff>304800</xdr:colOff>
      <xdr:row>15</xdr:row>
      <xdr:rowOff>68580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DF09911-337E-4869-A5A2-C20590ABBB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68580"/>
              <a:ext cx="48234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19</xdr:row>
      <xdr:rowOff>0</xdr:rowOff>
    </xdr:from>
    <xdr:to>
      <xdr:col>7</xdr:col>
      <xdr:colOff>53340</xdr:colOff>
      <xdr:row>34</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0B69033-44F6-411C-81E3-C83A90A5B9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4747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0</xdr:row>
      <xdr:rowOff>175260</xdr:rowOff>
    </xdr:from>
    <xdr:to>
      <xdr:col>3</xdr:col>
      <xdr:colOff>144780</xdr:colOff>
      <xdr:row>14</xdr:row>
      <xdr:rowOff>81915</xdr:rowOff>
    </xdr:to>
    <mc:AlternateContent xmlns:mc="http://schemas.openxmlformats.org/markup-compatibility/2006" xmlns:a14="http://schemas.microsoft.com/office/drawing/2010/main">
      <mc:Choice Requires="a14">
        <xdr:graphicFrame macro="">
          <xdr:nvGraphicFramePr>
            <xdr:cNvPr id="6" name="Performance Category">
              <a:extLst>
                <a:ext uri="{FF2B5EF4-FFF2-40B4-BE49-F238E27FC236}">
                  <a16:creationId xmlns:a16="http://schemas.microsoft.com/office/drawing/2014/main" id="{C0656885-2131-452D-BB01-DB595100FE9D}"/>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mlns="">
        <xdr:sp macro="" textlink="">
          <xdr:nvSpPr>
            <xdr:cNvPr id="0" name=""/>
            <xdr:cNvSpPr>
              <a:spLocks noTextEdit="1"/>
            </xdr:cNvSpPr>
          </xdr:nvSpPr>
          <xdr:spPr>
            <a:xfrm>
              <a:off x="144780" y="17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xdr:row>
      <xdr:rowOff>0</xdr:rowOff>
    </xdr:from>
    <xdr:to>
      <xdr:col>7</xdr:col>
      <xdr:colOff>0</xdr:colOff>
      <xdr:row>14</xdr:row>
      <xdr:rowOff>89535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2393310C-9411-4329-9BD2-A9C3B45AB4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3840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22860</xdr:colOff>
      <xdr:row>0</xdr:row>
      <xdr:rowOff>0</xdr:rowOff>
    </xdr:from>
    <xdr:to>
      <xdr:col>11</xdr:col>
      <xdr:colOff>22860</xdr:colOff>
      <xdr:row>13</xdr:row>
      <xdr:rowOff>89535</xdr:rowOff>
    </xdr:to>
    <mc:AlternateContent xmlns:mc="http://schemas.openxmlformats.org/markup-compatibility/2006" xmlns:sle15="http://schemas.microsoft.com/office/drawing/2012/slicer">
      <mc:Choice Requires="sle15">
        <xdr:graphicFrame macro="">
          <xdr:nvGraphicFramePr>
            <xdr:cNvPr id="11" name="variance range">
              <a:extLst>
                <a:ext uri="{FF2B5EF4-FFF2-40B4-BE49-F238E27FC236}">
                  <a16:creationId xmlns:a16="http://schemas.microsoft.com/office/drawing/2014/main" id="{687CD77F-A518-4155-9B95-921EC9B75BCF}"/>
                </a:ext>
              </a:extLst>
            </xdr:cNvPr>
            <xdr:cNvGraphicFramePr/>
          </xdr:nvGraphicFramePr>
          <xdr:xfrm>
            <a:off x="0" y="0"/>
            <a:ext cx="0" cy="0"/>
          </xdr:xfrm>
          <a:graphic>
            <a:graphicData uri="http://schemas.microsoft.com/office/drawing/2010/slicer">
              <sle:slicer xmlns:sle="http://schemas.microsoft.com/office/drawing/2010/slicer" name="variance range"/>
            </a:graphicData>
          </a:graphic>
        </xdr:graphicFrame>
      </mc:Choice>
      <mc:Fallback xmlns="">
        <xdr:sp macro="" textlink="">
          <xdr:nvSpPr>
            <xdr:cNvPr id="0" name=""/>
            <xdr:cNvSpPr>
              <a:spLocks noTextEdit="1"/>
            </xdr:cNvSpPr>
          </xdr:nvSpPr>
          <xdr:spPr>
            <a:xfrm>
              <a:off x="48996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167640</xdr:colOff>
      <xdr:row>5</xdr:row>
      <xdr:rowOff>129540</xdr:rowOff>
    </xdr:from>
    <xdr:to>
      <xdr:col>11</xdr:col>
      <xdr:colOff>373380</xdr:colOff>
      <xdr:row>8</xdr:row>
      <xdr:rowOff>99060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82CD47E-7E56-1188-822C-E21B92013F3D}"/>
            </a:ext>
          </a:extLst>
        </xdr:cNvPr>
        <xdr:cNvSpPr/>
      </xdr:nvSpPr>
      <xdr:spPr>
        <a:xfrm>
          <a:off x="10500360" y="1043940"/>
          <a:ext cx="13639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1</xdr:row>
      <xdr:rowOff>45720</xdr:rowOff>
    </xdr:from>
    <xdr:to>
      <xdr:col>7</xdr:col>
      <xdr:colOff>327660</xdr:colOff>
      <xdr:row>14</xdr:row>
      <xdr:rowOff>133350</xdr:rowOff>
    </xdr:to>
    <xdr:graphicFrame macro="">
      <xdr:nvGraphicFramePr>
        <xdr:cNvPr id="2" name="Chart 1">
          <a:extLst>
            <a:ext uri="{FF2B5EF4-FFF2-40B4-BE49-F238E27FC236}">
              <a16:creationId xmlns:a16="http://schemas.microsoft.com/office/drawing/2014/main" id="{77A53DC4-F736-745C-789B-CCEAC10E5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15</xdr:row>
      <xdr:rowOff>3810</xdr:rowOff>
    </xdr:from>
    <xdr:to>
      <xdr:col>9</xdr:col>
      <xdr:colOff>548640</xdr:colOff>
      <xdr:row>30</xdr:row>
      <xdr:rowOff>3810</xdr:rowOff>
    </xdr:to>
    <xdr:graphicFrame macro="">
      <xdr:nvGraphicFramePr>
        <xdr:cNvPr id="3" name="Chart 2">
          <a:extLst>
            <a:ext uri="{FF2B5EF4-FFF2-40B4-BE49-F238E27FC236}">
              <a16:creationId xmlns:a16="http://schemas.microsoft.com/office/drawing/2014/main" id="{6872813C-A12D-5B83-1FEE-B715D1434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144780</xdr:colOff>
      <xdr:row>1</xdr:row>
      <xdr:rowOff>26670</xdr:rowOff>
    </xdr:from>
    <xdr:to>
      <xdr:col>18</xdr:col>
      <xdr:colOff>449580</xdr:colOff>
      <xdr:row>15</xdr:row>
      <xdr:rowOff>179070</xdr:rowOff>
    </xdr:to>
    <xdr:graphicFrame macro="">
      <xdr:nvGraphicFramePr>
        <xdr:cNvPr id="4" name="Chart 3">
          <a:extLst>
            <a:ext uri="{FF2B5EF4-FFF2-40B4-BE49-F238E27FC236}">
              <a16:creationId xmlns:a16="http://schemas.microsoft.com/office/drawing/2014/main" id="{E421DCAC-C48B-FE34-CEB7-D1F4EF788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0</xdr:row>
      <xdr:rowOff>91440</xdr:rowOff>
    </xdr:from>
    <xdr:to>
      <xdr:col>18</xdr:col>
      <xdr:colOff>449580</xdr:colOff>
      <xdr:row>4</xdr:row>
      <xdr:rowOff>91440</xdr:rowOff>
    </xdr:to>
    <xdr:sp macro="" textlink="">
      <xdr:nvSpPr>
        <xdr:cNvPr id="3" name="Rectangle: Rounded Corners 2">
          <a:extLst>
            <a:ext uri="{FF2B5EF4-FFF2-40B4-BE49-F238E27FC236}">
              <a16:creationId xmlns:a16="http://schemas.microsoft.com/office/drawing/2014/main" id="{D01D1B35-A299-2282-D2B2-2C45EE20E645}"/>
            </a:ext>
          </a:extLst>
        </xdr:cNvPr>
        <xdr:cNvSpPr/>
      </xdr:nvSpPr>
      <xdr:spPr>
        <a:xfrm>
          <a:off x="2499360" y="91440"/>
          <a:ext cx="8923020" cy="731520"/>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3200">
              <a:solidFill>
                <a:schemeClr val="accent1">
                  <a:lumMod val="75000"/>
                </a:schemeClr>
              </a:solidFill>
              <a:latin typeface="Algerian" panose="04020705040A02060702" pitchFamily="82" charset="0"/>
            </a:rPr>
            <a:t>Financial Budget vs Actual Analysis</a:t>
          </a:r>
        </a:p>
      </xdr:txBody>
    </xdr:sp>
    <xdr:clientData/>
  </xdr:twoCellAnchor>
  <xdr:twoCellAnchor>
    <xdr:from>
      <xdr:col>0</xdr:col>
      <xdr:colOff>114300</xdr:colOff>
      <xdr:row>4</xdr:row>
      <xdr:rowOff>160020</xdr:rowOff>
    </xdr:from>
    <xdr:to>
      <xdr:col>3</xdr:col>
      <xdr:colOff>121920</xdr:colOff>
      <xdr:row>8</xdr:row>
      <xdr:rowOff>175260</xdr:rowOff>
    </xdr:to>
    <xdr:sp macro="" textlink="KPI!D2">
      <xdr:nvSpPr>
        <xdr:cNvPr id="5" name="Rectangle 4">
          <a:extLst>
            <a:ext uri="{FF2B5EF4-FFF2-40B4-BE49-F238E27FC236}">
              <a16:creationId xmlns:a16="http://schemas.microsoft.com/office/drawing/2014/main" id="{4029E9AF-54A0-F1CA-3C74-79721A29FD0D}"/>
            </a:ext>
          </a:extLst>
        </xdr:cNvPr>
        <xdr:cNvSpPr/>
      </xdr:nvSpPr>
      <xdr:spPr>
        <a:xfrm>
          <a:off x="114300" y="891540"/>
          <a:ext cx="195072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accent6">
                  <a:lumMod val="40000"/>
                  <a:lumOff val="60000"/>
                </a:schemeClr>
              </a:solidFill>
              <a:latin typeface="Corbel" panose="020B0503020204020204" pitchFamily="34" charset="0"/>
              <a:ea typeface="Calibri"/>
              <a:cs typeface="Calibri"/>
            </a:rPr>
            <a:t>Total Budget</a:t>
          </a:r>
        </a:p>
        <a:p>
          <a:pPr marL="0" indent="0" algn="ctr"/>
          <a:fld id="{EBD71D44-9080-4259-8A35-8E8DEB1395A5}"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3080839.86</a:t>
          </a:fld>
          <a:endParaRPr lang="en-US"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twoCellAnchor>
    <xdr:from>
      <xdr:col>7</xdr:col>
      <xdr:colOff>91440</xdr:colOff>
      <xdr:row>4</xdr:row>
      <xdr:rowOff>144780</xdr:rowOff>
    </xdr:from>
    <xdr:to>
      <xdr:col>11</xdr:col>
      <xdr:colOff>22860</xdr:colOff>
      <xdr:row>8</xdr:row>
      <xdr:rowOff>160020</xdr:rowOff>
    </xdr:to>
    <xdr:sp macro="" textlink="KPI!A3">
      <xdr:nvSpPr>
        <xdr:cNvPr id="6" name="Rectangle 5">
          <a:extLst>
            <a:ext uri="{FF2B5EF4-FFF2-40B4-BE49-F238E27FC236}">
              <a16:creationId xmlns:a16="http://schemas.microsoft.com/office/drawing/2014/main" id="{0705F268-8724-483D-9A4E-1AF394EE25A3}"/>
            </a:ext>
          </a:extLst>
        </xdr:cNvPr>
        <xdr:cNvSpPr/>
      </xdr:nvSpPr>
      <xdr:spPr>
        <a:xfrm>
          <a:off x="4472940" y="876300"/>
          <a:ext cx="236982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D7E4FEF-1A67-45BD-8B24-547BFBB1DAAA}"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Overall Variance (Absolute and Percentage)</a:t>
          </a:fld>
          <a:endParaRPr lang="en-IN"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twoCellAnchor>
    <xdr:from>
      <xdr:col>11</xdr:col>
      <xdr:colOff>243840</xdr:colOff>
      <xdr:row>4</xdr:row>
      <xdr:rowOff>121920</xdr:rowOff>
    </xdr:from>
    <xdr:to>
      <xdr:col>14</xdr:col>
      <xdr:colOff>533400</xdr:colOff>
      <xdr:row>8</xdr:row>
      <xdr:rowOff>137160</xdr:rowOff>
    </xdr:to>
    <xdr:sp macro="" textlink="KPI!B5">
      <xdr:nvSpPr>
        <xdr:cNvPr id="8" name="Rectangle 7">
          <a:extLst>
            <a:ext uri="{FF2B5EF4-FFF2-40B4-BE49-F238E27FC236}">
              <a16:creationId xmlns:a16="http://schemas.microsoft.com/office/drawing/2014/main" id="{D1EA9234-717D-448B-8028-7AE884F5DF70}"/>
            </a:ext>
          </a:extLst>
        </xdr:cNvPr>
        <xdr:cNvSpPr/>
      </xdr:nvSpPr>
      <xdr:spPr>
        <a:xfrm>
          <a:off x="7063740" y="853440"/>
          <a:ext cx="211836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accent6">
                  <a:lumMod val="40000"/>
                  <a:lumOff val="60000"/>
                </a:schemeClr>
              </a:solidFill>
              <a:latin typeface="Corbel" panose="020B0503020204020204" pitchFamily="34" charset="0"/>
              <a:ea typeface="Calibri"/>
              <a:cs typeface="Calibri"/>
            </a:rPr>
            <a:t>Number of Departments within/over budget</a:t>
          </a:r>
        </a:p>
        <a:p>
          <a:pPr marL="0" indent="0" algn="ctr"/>
          <a:fld id="{40446877-554A-49F0-AF48-EF1EF5713409}"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19</a:t>
          </a:fld>
          <a:endParaRPr lang="en-IN"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twoCellAnchor>
    <xdr:from>
      <xdr:col>15</xdr:col>
      <xdr:colOff>60960</xdr:colOff>
      <xdr:row>4</xdr:row>
      <xdr:rowOff>129540</xdr:rowOff>
    </xdr:from>
    <xdr:to>
      <xdr:col>18</xdr:col>
      <xdr:colOff>601980</xdr:colOff>
      <xdr:row>8</xdr:row>
      <xdr:rowOff>144780</xdr:rowOff>
    </xdr:to>
    <xdr:sp macro="" textlink="KPI!B7">
      <xdr:nvSpPr>
        <xdr:cNvPr id="10" name="Rectangle 9">
          <a:extLst>
            <a:ext uri="{FF2B5EF4-FFF2-40B4-BE49-F238E27FC236}">
              <a16:creationId xmlns:a16="http://schemas.microsoft.com/office/drawing/2014/main" id="{BCFF44A2-3C6C-4D6A-9B8F-997271BEBCE8}"/>
            </a:ext>
          </a:extLst>
        </xdr:cNvPr>
        <xdr:cNvSpPr/>
      </xdr:nvSpPr>
      <xdr:spPr>
        <a:xfrm>
          <a:off x="9319260" y="861060"/>
          <a:ext cx="236982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i="0" u="none" strike="noStrike">
              <a:solidFill>
                <a:schemeClr val="accent6">
                  <a:lumMod val="40000"/>
                  <a:lumOff val="60000"/>
                </a:schemeClr>
              </a:solidFill>
              <a:latin typeface="Corbel" panose="020B0503020204020204" pitchFamily="34" charset="0"/>
              <a:ea typeface="Calibri"/>
              <a:cs typeface="Calibri"/>
            </a:rPr>
            <a:t>Largest Positive Variance </a:t>
          </a:r>
          <a:fld id="{1F411C20-906A-47FE-AEF3-064C23BBAC40}"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9842.666327</a:t>
          </a:fld>
          <a:endParaRPr lang="en-IN"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twoCellAnchor>
    <xdr:from>
      <xdr:col>19</xdr:col>
      <xdr:colOff>60960</xdr:colOff>
      <xdr:row>4</xdr:row>
      <xdr:rowOff>121920</xdr:rowOff>
    </xdr:from>
    <xdr:to>
      <xdr:col>23</xdr:col>
      <xdr:colOff>220980</xdr:colOff>
      <xdr:row>8</xdr:row>
      <xdr:rowOff>137160</xdr:rowOff>
    </xdr:to>
    <xdr:sp macro="" textlink="KPI!B9">
      <xdr:nvSpPr>
        <xdr:cNvPr id="11" name="Rectangle 10">
          <a:extLst>
            <a:ext uri="{FF2B5EF4-FFF2-40B4-BE49-F238E27FC236}">
              <a16:creationId xmlns:a16="http://schemas.microsoft.com/office/drawing/2014/main" id="{CE6A56C0-8685-4F87-83CF-E001C33E8FC7}"/>
            </a:ext>
          </a:extLst>
        </xdr:cNvPr>
        <xdr:cNvSpPr/>
      </xdr:nvSpPr>
      <xdr:spPr>
        <a:xfrm>
          <a:off x="11757660" y="853440"/>
          <a:ext cx="236982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i="0" u="none" strike="noStrike">
              <a:solidFill>
                <a:schemeClr val="accent6">
                  <a:lumMod val="40000"/>
                  <a:lumOff val="60000"/>
                </a:schemeClr>
              </a:solidFill>
              <a:latin typeface="Corbel" panose="020B0503020204020204" pitchFamily="34" charset="0"/>
              <a:ea typeface="Calibri"/>
              <a:cs typeface="Calibri"/>
            </a:rPr>
            <a:t>Largest Negative Variance (Unfavorable) </a:t>
          </a:r>
          <a:fld id="{51A2E033-8710-4A30-A2F1-5DDCE20E0D55}"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-9819.391917</a:t>
          </a:fld>
          <a:endParaRPr lang="en-IN"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twoCellAnchor>
    <xdr:from>
      <xdr:col>12</xdr:col>
      <xdr:colOff>0</xdr:colOff>
      <xdr:row>11</xdr:row>
      <xdr:rowOff>0</xdr:rowOff>
    </xdr:from>
    <xdr:to>
      <xdr:col>13</xdr:col>
      <xdr:colOff>76200</xdr:colOff>
      <xdr:row>14</xdr:row>
      <xdr:rowOff>0</xdr:rowOff>
    </xdr:to>
    <xdr:sp macro="" textlink="">
      <xdr:nvSpPr>
        <xdr:cNvPr id="5129" name="Text Box 9">
          <a:extLst>
            <a:ext uri="{FF2B5EF4-FFF2-40B4-BE49-F238E27FC236}">
              <a16:creationId xmlns:a16="http://schemas.microsoft.com/office/drawing/2014/main" id="{A41605C4-895F-C28D-51D5-DBC0193C9FF9}"/>
            </a:ext>
          </a:extLst>
        </xdr:cNvPr>
        <xdr:cNvSpPr txBox="1">
          <a:spLocks noChangeArrowheads="1"/>
        </xdr:cNvSpPr>
      </xdr:nvSpPr>
      <xdr:spPr bwMode="auto">
        <a:xfrm>
          <a:off x="7429500" y="201168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53340</xdr:colOff>
      <xdr:row>9</xdr:row>
      <xdr:rowOff>152400</xdr:rowOff>
    </xdr:from>
    <xdr:to>
      <xdr:col>7</xdr:col>
      <xdr:colOff>38100</xdr:colOff>
      <xdr:row>22</xdr:row>
      <xdr:rowOff>167640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491CCCAA-C035-436B-B6BE-DB1E6EEED1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340" y="1798320"/>
              <a:ext cx="4366260" cy="2392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106680</xdr:colOff>
      <xdr:row>9</xdr:row>
      <xdr:rowOff>137160</xdr:rowOff>
    </xdr:from>
    <xdr:to>
      <xdr:col>14</xdr:col>
      <xdr:colOff>297180</xdr:colOff>
      <xdr:row>22</xdr:row>
      <xdr:rowOff>167640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5E92501D-0BEB-400F-8FEE-EBE95A59FE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88180" y="1783080"/>
              <a:ext cx="4457700" cy="2407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327660</xdr:colOff>
      <xdr:row>23</xdr:row>
      <xdr:rowOff>175261</xdr:rowOff>
    </xdr:from>
    <xdr:to>
      <xdr:col>22</xdr:col>
      <xdr:colOff>327660</xdr:colOff>
      <xdr:row>35</xdr:row>
      <xdr:rowOff>167640</xdr:rowOff>
    </xdr:to>
    <mc:AlternateContent xmlns:mc="http://schemas.openxmlformats.org/markup-compatibility/2006" xmlns:a14="http://schemas.microsoft.com/office/drawing/2010/main">
      <mc:Choice Requires="a14">
        <xdr:graphicFrame macro="">
          <xdr:nvGraphicFramePr>
            <xdr:cNvPr id="19" name="Performance Category 1">
              <a:extLst>
                <a:ext uri="{FF2B5EF4-FFF2-40B4-BE49-F238E27FC236}">
                  <a16:creationId xmlns:a16="http://schemas.microsoft.com/office/drawing/2014/main" id="{8093EE6F-0D9F-4F21-908A-4231F48C01FD}"/>
                </a:ext>
              </a:extLst>
            </xdr:cNvPr>
            <xdr:cNvGraphicFramePr/>
          </xdr:nvGraphicFramePr>
          <xdr:xfrm>
            <a:off x="0" y="0"/>
            <a:ext cx="0" cy="0"/>
          </xdr:xfrm>
          <a:graphic>
            <a:graphicData uri="http://schemas.microsoft.com/office/drawing/2010/slicer">
              <sle:slicer xmlns:sle="http://schemas.microsoft.com/office/drawing/2010/slicer" name="Performance Category 1"/>
            </a:graphicData>
          </a:graphic>
        </xdr:graphicFrame>
      </mc:Choice>
      <mc:Fallback xmlns="">
        <xdr:sp macro="" textlink="">
          <xdr:nvSpPr>
            <xdr:cNvPr id="0" name=""/>
            <xdr:cNvSpPr>
              <a:spLocks noTextEdit="1"/>
            </xdr:cNvSpPr>
          </xdr:nvSpPr>
          <xdr:spPr>
            <a:xfrm>
              <a:off x="12024360" y="4381501"/>
              <a:ext cx="1828800" cy="218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36</xdr:row>
      <xdr:rowOff>76201</xdr:rowOff>
    </xdr:from>
    <xdr:to>
      <xdr:col>23</xdr:col>
      <xdr:colOff>0</xdr:colOff>
      <xdr:row>48</xdr:row>
      <xdr:rowOff>167641</xdr:rowOff>
    </xdr:to>
    <mc:AlternateContent xmlns:mc="http://schemas.openxmlformats.org/markup-compatibility/2006" xmlns:a14="http://schemas.microsoft.com/office/drawing/2010/main">
      <mc:Choice Requires="a14">
        <xdr:graphicFrame macro="">
          <xdr:nvGraphicFramePr>
            <xdr:cNvPr id="21" name="Department 1">
              <a:extLst>
                <a:ext uri="{FF2B5EF4-FFF2-40B4-BE49-F238E27FC236}">
                  <a16:creationId xmlns:a16="http://schemas.microsoft.com/office/drawing/2014/main" id="{E73B79DD-C39E-4366-92CD-CF278BBF32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077700" y="6659881"/>
              <a:ext cx="18288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533400</xdr:colOff>
      <xdr:row>36</xdr:row>
      <xdr:rowOff>38101</xdr:rowOff>
    </xdr:from>
    <xdr:to>
      <xdr:col>10</xdr:col>
      <xdr:colOff>533400</xdr:colOff>
      <xdr:row>48</xdr:row>
      <xdr:rowOff>167641</xdr:rowOff>
    </xdr:to>
    <mc:AlternateContent xmlns:mc="http://schemas.openxmlformats.org/markup-compatibility/2006" xmlns:sle15="http://schemas.microsoft.com/office/drawing/2012/slicer">
      <mc:Choice Requires="sle15">
        <xdr:graphicFrame macro="">
          <xdr:nvGraphicFramePr>
            <xdr:cNvPr id="22" name="variance range 1">
              <a:extLst>
                <a:ext uri="{FF2B5EF4-FFF2-40B4-BE49-F238E27FC236}">
                  <a16:creationId xmlns:a16="http://schemas.microsoft.com/office/drawing/2014/main" id="{04663A3D-79A3-4760-91FB-D6D89AF82731}"/>
                </a:ext>
              </a:extLst>
            </xdr:cNvPr>
            <xdr:cNvGraphicFramePr/>
          </xdr:nvGraphicFramePr>
          <xdr:xfrm>
            <a:off x="0" y="0"/>
            <a:ext cx="0" cy="0"/>
          </xdr:xfrm>
          <a:graphic>
            <a:graphicData uri="http://schemas.microsoft.com/office/drawing/2010/slicer">
              <sle:slicer xmlns:sle="http://schemas.microsoft.com/office/drawing/2010/slicer" name="variance range 1"/>
            </a:graphicData>
          </a:graphic>
        </xdr:graphicFrame>
      </mc:Choice>
      <mc:Fallback xmlns="">
        <xdr:sp macro="" textlink="">
          <xdr:nvSpPr>
            <xdr:cNvPr id="0" name=""/>
            <xdr:cNvSpPr>
              <a:spLocks noTextEdit="1"/>
            </xdr:cNvSpPr>
          </xdr:nvSpPr>
          <xdr:spPr>
            <a:xfrm>
              <a:off x="4914900" y="6621781"/>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68580</xdr:colOff>
      <xdr:row>23</xdr:row>
      <xdr:rowOff>60960</xdr:rowOff>
    </xdr:from>
    <xdr:to>
      <xdr:col>6</xdr:col>
      <xdr:colOff>30480</xdr:colOff>
      <xdr:row>35</xdr:row>
      <xdr:rowOff>167640</xdr:rowOff>
    </xdr:to>
    <xdr:graphicFrame macro="">
      <xdr:nvGraphicFramePr>
        <xdr:cNvPr id="25" name="Chart 24">
          <a:extLst>
            <a:ext uri="{FF2B5EF4-FFF2-40B4-BE49-F238E27FC236}">
              <a16:creationId xmlns:a16="http://schemas.microsoft.com/office/drawing/2014/main" id="{76E75677-CDF9-45C6-B58B-3088C7577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23</xdr:row>
      <xdr:rowOff>60960</xdr:rowOff>
    </xdr:from>
    <xdr:to>
      <xdr:col>12</xdr:col>
      <xdr:colOff>403860</xdr:colOff>
      <xdr:row>35</xdr:row>
      <xdr:rowOff>175260</xdr:rowOff>
    </xdr:to>
    <xdr:graphicFrame macro="">
      <xdr:nvGraphicFramePr>
        <xdr:cNvPr id="26" name="Chart 25">
          <a:extLst>
            <a:ext uri="{FF2B5EF4-FFF2-40B4-BE49-F238E27FC236}">
              <a16:creationId xmlns:a16="http://schemas.microsoft.com/office/drawing/2014/main" id="{E3F06342-B04D-4AE5-9EDE-D6C28B2DF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541020</xdr:colOff>
      <xdr:row>23</xdr:row>
      <xdr:rowOff>76200</xdr:rowOff>
    </xdr:from>
    <xdr:to>
      <xdr:col>19</xdr:col>
      <xdr:colOff>205740</xdr:colOff>
      <xdr:row>36</xdr:row>
      <xdr:rowOff>15240</xdr:rowOff>
    </xdr:to>
    <xdr:graphicFrame macro="">
      <xdr:nvGraphicFramePr>
        <xdr:cNvPr id="28" name="Chart 27">
          <a:extLst>
            <a:ext uri="{FF2B5EF4-FFF2-40B4-BE49-F238E27FC236}">
              <a16:creationId xmlns:a16="http://schemas.microsoft.com/office/drawing/2014/main" id="{FCD92076-08BC-4B65-9798-BAACCC972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45720</xdr:rowOff>
    </xdr:from>
    <xdr:to>
      <xdr:col>7</xdr:col>
      <xdr:colOff>426720</xdr:colOff>
      <xdr:row>49</xdr:row>
      <xdr:rowOff>7620</xdr:rowOff>
    </xdr:to>
    <xdr:graphicFrame macro="">
      <xdr:nvGraphicFramePr>
        <xdr:cNvPr id="30" name="Chart 29">
          <a:extLst>
            <a:ext uri="{FF2B5EF4-FFF2-40B4-BE49-F238E27FC236}">
              <a16:creationId xmlns:a16="http://schemas.microsoft.com/office/drawing/2014/main" id="{FFF10723-6628-427D-9960-D3FFCFEB9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36</xdr:row>
      <xdr:rowOff>60960</xdr:rowOff>
    </xdr:from>
    <xdr:to>
      <xdr:col>19</xdr:col>
      <xdr:colOff>312420</xdr:colOff>
      <xdr:row>49</xdr:row>
      <xdr:rowOff>15240</xdr:rowOff>
    </xdr:to>
    <xdr:graphicFrame macro="">
      <xdr:nvGraphicFramePr>
        <xdr:cNvPr id="33" name="Chart 32">
          <a:extLst>
            <a:ext uri="{FF2B5EF4-FFF2-40B4-BE49-F238E27FC236}">
              <a16:creationId xmlns:a16="http://schemas.microsoft.com/office/drawing/2014/main" id="{8A03D99A-994B-4266-AB39-4C176D8D4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396240</xdr:colOff>
      <xdr:row>9</xdr:row>
      <xdr:rowOff>144780</xdr:rowOff>
    </xdr:from>
    <xdr:to>
      <xdr:col>22</xdr:col>
      <xdr:colOff>320040</xdr:colOff>
      <xdr:row>22</xdr:row>
      <xdr:rowOff>144780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499EBAD0-8D6A-427E-923C-114572D26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44940" y="1790700"/>
              <a:ext cx="480060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525780</xdr:colOff>
      <xdr:row>51</xdr:row>
      <xdr:rowOff>22860</xdr:rowOff>
    </xdr:from>
    <xdr:to>
      <xdr:col>21</xdr:col>
      <xdr:colOff>525780</xdr:colOff>
      <xdr:row>56</xdr:row>
      <xdr:rowOff>83820</xdr:rowOff>
    </xdr:to>
    <xdr:sp macro="" textlink="">
      <xdr:nvSpPr>
        <xdr:cNvPr id="2" name="Rectangle 1">
          <a:hlinkClick xmlns:r="http://schemas.openxmlformats.org/officeDocument/2006/relationships" r:id="rId9"/>
          <a:extLst>
            <a:ext uri="{FF2B5EF4-FFF2-40B4-BE49-F238E27FC236}">
              <a16:creationId xmlns:a16="http://schemas.microsoft.com/office/drawing/2014/main" id="{CB0BBF96-0B27-3B84-430A-35831226B6FB}"/>
            </a:ext>
          </a:extLst>
        </xdr:cNvPr>
        <xdr:cNvSpPr/>
      </xdr:nvSpPr>
      <xdr:spPr>
        <a:xfrm>
          <a:off x="9174480" y="9349740"/>
          <a:ext cx="4267200" cy="975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335280</xdr:colOff>
      <xdr:row>4</xdr:row>
      <xdr:rowOff>167640</xdr:rowOff>
    </xdr:from>
    <xdr:to>
      <xdr:col>6</xdr:col>
      <xdr:colOff>449580</xdr:colOff>
      <xdr:row>9</xdr:row>
      <xdr:rowOff>0</xdr:rowOff>
    </xdr:to>
    <xdr:sp macro="" textlink="KPI!E2">
      <xdr:nvSpPr>
        <xdr:cNvPr id="9" name="Rectangle 8">
          <a:extLst>
            <a:ext uri="{FF2B5EF4-FFF2-40B4-BE49-F238E27FC236}">
              <a16:creationId xmlns:a16="http://schemas.microsoft.com/office/drawing/2014/main" id="{AF4B594D-C821-74AE-8E70-88EF9628A3AA}"/>
            </a:ext>
          </a:extLst>
        </xdr:cNvPr>
        <xdr:cNvSpPr/>
      </xdr:nvSpPr>
      <xdr:spPr>
        <a:xfrm>
          <a:off x="2278380" y="899160"/>
          <a:ext cx="194310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accent6">
                  <a:lumMod val="40000"/>
                  <a:lumOff val="60000"/>
                </a:schemeClr>
              </a:solidFill>
              <a:latin typeface="Corbel" panose="020B0503020204020204" pitchFamily="34" charset="0"/>
              <a:ea typeface="Calibri"/>
              <a:cs typeface="Calibri"/>
            </a:rPr>
            <a:t>Actual Budget</a:t>
          </a:r>
        </a:p>
        <a:p>
          <a:pPr marL="0" indent="0" algn="ctr"/>
          <a:fld id="{84F854A4-D1D5-4250-B1BC-79166D03C367}" type="TxLink">
            <a:rPr lang="en-US" sz="1400" b="1" i="0" u="none" strike="noStrike">
              <a:solidFill>
                <a:schemeClr val="accent6">
                  <a:lumMod val="40000"/>
                  <a:lumOff val="60000"/>
                </a:schemeClr>
              </a:solidFill>
              <a:latin typeface="Corbel" panose="020B0503020204020204" pitchFamily="34" charset="0"/>
              <a:ea typeface="Calibri"/>
              <a:cs typeface="Calibri"/>
            </a:rPr>
            <a:pPr marL="0" indent="0" algn="ctr"/>
            <a:t>3020568.537</a:t>
          </a:fld>
          <a:endParaRPr lang="en-IN" sz="1400" b="1" i="0" u="none" strike="noStrike">
            <a:solidFill>
              <a:schemeClr val="accent6">
                <a:lumMod val="40000"/>
                <a:lumOff val="60000"/>
              </a:schemeClr>
            </a:solidFill>
            <a:latin typeface="Corbel" panose="020B0503020204020204" pitchFamily="34" charset="0"/>
            <a:ea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464820</xdr:colOff>
      <xdr:row>0</xdr:row>
      <xdr:rowOff>110490</xdr:rowOff>
    </xdr:from>
    <xdr:to>
      <xdr:col>10</xdr:col>
      <xdr:colOff>510540</xdr:colOff>
      <xdr:row>11</xdr:row>
      <xdr:rowOff>175260</xdr:rowOff>
    </xdr:to>
    <xdr:graphicFrame macro="">
      <xdr:nvGraphicFramePr>
        <xdr:cNvPr id="6" name="Chart 5">
          <a:extLst>
            <a:ext uri="{FF2B5EF4-FFF2-40B4-BE49-F238E27FC236}">
              <a16:creationId xmlns:a16="http://schemas.microsoft.com/office/drawing/2014/main" id="{AD7491ED-891A-C6C5-D995-33559AA39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13</xdr:row>
      <xdr:rowOff>144780</xdr:rowOff>
    </xdr:from>
    <xdr:to>
      <xdr:col>11</xdr:col>
      <xdr:colOff>45720</xdr:colOff>
      <xdr:row>25</xdr:row>
      <xdr:rowOff>110490</xdr:rowOff>
    </xdr:to>
    <xdr:graphicFrame macro="">
      <xdr:nvGraphicFramePr>
        <xdr:cNvPr id="8" name="Chart 7">
          <a:extLst>
            <a:ext uri="{FF2B5EF4-FFF2-40B4-BE49-F238E27FC236}">
              <a16:creationId xmlns:a16="http://schemas.microsoft.com/office/drawing/2014/main" id="{25E6199F-AEC1-F6B3-9357-FF8E55123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655320</xdr:colOff>
      <xdr:row>1</xdr:row>
      <xdr:rowOff>41910</xdr:rowOff>
    </xdr:from>
    <xdr:to>
      <xdr:col>10</xdr:col>
      <xdr:colOff>160020</xdr:colOff>
      <xdr:row>14</xdr:row>
      <xdr:rowOff>41910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5119138-F8C8-48D8-65FD-4110CB81B5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66160" y="224790"/>
              <a:ext cx="457200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8.803720138887" createdVersion="8" refreshedVersion="8" minRefreshableVersion="3" recordCount="100" xr:uid="{DC3EAC60-50D6-4778-991C-DA127148F898}">
  <cacheSource type="worksheet">
    <worksheetSource ref="A1:G101" sheet="Dataset"/>
  </cacheSource>
  <cacheFields count="7">
    <cacheField name="Department" numFmtId="0">
      <sharedItems count="5">
        <s v="Sales"/>
        <s v="HR"/>
        <s v="IT"/>
        <s v="Marketing"/>
        <s v="Finance"/>
      </sharedItems>
    </cacheField>
    <cacheField name="Month" numFmtId="0">
      <sharedItems count="12">
        <s v="June"/>
        <s v="April"/>
        <s v="February"/>
        <s v="November"/>
        <s v="January"/>
        <s v="December"/>
        <s v="October"/>
        <s v="August"/>
        <s v="March"/>
        <s v="July"/>
        <s v="September"/>
        <s v="May"/>
      </sharedItems>
    </cacheField>
    <cacheField name="Budget" numFmtId="0">
      <sharedItems containsSemiMixedTypes="0" containsString="0" containsNumber="1" minValue="10734.71" maxValue="49374.06" count="100">
        <n v="19901.599999999999"/>
        <n v="32336.51"/>
        <n v="19021.61"/>
        <n v="16433.02"/>
        <n v="36060.78"/>
        <n v="23037.02"/>
        <n v="33610.559999999998"/>
        <n v="27329.87"/>
        <n v="49374.06"/>
        <n v="15983.23"/>
        <n v="28583.94"/>
        <n v="37218.269999999997"/>
        <n v="25821.8"/>
        <n v="48987.99"/>
        <n v="38875.51"/>
        <n v="36279.35"/>
        <n v="40282.370000000003"/>
        <n v="48105.95"/>
        <n v="46312.75"/>
        <n v="38971.410000000003"/>
        <n v="39966.47"/>
        <n v="15836.88"/>
        <n v="14111.7"/>
        <n v="32836.18"/>
        <n v="10734.71"/>
        <n v="29294.26"/>
        <n v="18413.98"/>
        <n v="23840.66"/>
        <n v="41032.19"/>
        <n v="47649.5"/>
        <n v="12896.65"/>
        <n v="31369.69"/>
        <n v="45301.34"/>
        <n v="13300.34"/>
        <n v="42980.56"/>
        <n v="24312.05"/>
        <n v="22883.79"/>
        <n v="49098.66"/>
        <n v="18034.36"/>
        <n v="37727.760000000002"/>
        <n v="42857.63"/>
        <n v="11647.34"/>
        <n v="36815.42"/>
        <n v="48062"/>
        <n v="14968.8"/>
        <n v="45848.85"/>
        <n v="33791.07"/>
        <n v="34664.18"/>
        <n v="34517.769999999997"/>
        <n v="21953.439999999999"/>
        <n v="47408.07"/>
        <n v="47894.02"/>
        <n v="35012.19"/>
        <n v="41336.910000000003"/>
        <n v="34490.32"/>
        <n v="29375.94"/>
        <n v="36432.800000000003"/>
        <n v="32120.06"/>
        <n v="33899.03"/>
        <n v="41353.300000000003"/>
        <n v="29236.15"/>
        <n v="11630.16"/>
        <n v="16559.98"/>
        <n v="27544.29"/>
        <n v="38993.06"/>
        <n v="33731.15"/>
        <n v="36011.769999999997"/>
        <n v="29171.16"/>
        <n v="34629.68"/>
        <n v="23160.7"/>
        <n v="28807.3"/>
        <n v="39771.160000000003"/>
        <n v="44873.31"/>
        <n v="27346.21"/>
        <n v="11746.47"/>
        <n v="16466.900000000001"/>
        <n v="10834.45"/>
        <n v="36130.519999999997"/>
        <n v="23292.59"/>
        <n v="31699.15"/>
        <n v="29731.07"/>
        <n v="13261.06"/>
        <n v="26130.45"/>
        <n v="18822.439999999999"/>
        <n v="26735.99"/>
        <n v="18143.13"/>
        <n v="43618.1"/>
        <n v="16967.73"/>
        <n v="48431.22"/>
        <n v="26636.29"/>
        <n v="43849.81"/>
        <n v="35150.589999999997"/>
        <n v="39414.01"/>
        <n v="40708.959999999999"/>
        <n v="30193.8"/>
        <n v="31732.02"/>
        <n v="30559.83"/>
        <n v="33522.339999999997"/>
        <n v="11175.78"/>
        <n v="25820.61"/>
      </sharedItems>
    </cacheField>
    <cacheField name="Actual" numFmtId="0">
      <sharedItems containsSemiMixedTypes="0" containsString="0" containsNumber="1" minValue="2664.0967449999998" maxValue="54809.225079999997" count="100">
        <n v="22025.37427"/>
        <n v="34290.981310000003"/>
        <n v="24880.731889999999"/>
        <n v="19533.20678"/>
        <n v="45903.446329999999"/>
        <n v="18714.110570000001"/>
        <n v="30793.580590000001"/>
        <n v="25006.813040000001"/>
        <n v="48690.316140000003"/>
        <n v="22703.191279999999"/>
        <n v="23299.781879999999"/>
        <n v="42738.274140000001"/>
        <n v="23928.003659999998"/>
        <n v="51025.097670000003"/>
        <n v="41526.320659999998"/>
        <n v="33736.322740000003"/>
        <n v="40534.674099999997"/>
        <n v="46366.573490000002"/>
        <n v="37695.405720000002"/>
        <n v="37714.717779999999"/>
        <n v="31914.33785"/>
        <n v="13937.295980000001"/>
        <n v="15970.067999999999"/>
        <n v="34424.477989999999"/>
        <n v="13987.13558"/>
        <n v="21199.490160000001"/>
        <n v="21456.444909999998"/>
        <n v="20083.62113"/>
        <n v="39013.108919999999"/>
        <n v="54809.225079999997"/>
        <n v="3077.2580830000002"/>
        <n v="33137.942669999997"/>
        <n v="47275.619599999998"/>
        <n v="11233.535529999999"/>
        <n v="37721.117140000002"/>
        <n v="19005.530770000001"/>
        <n v="30557.983390000001"/>
        <n v="47939.14748"/>
        <n v="14652.14726"/>
        <n v="36703.311479999997"/>
        <n v="46245.438029999998"/>
        <n v="4562.4713650000003"/>
        <n v="35804.096700000002"/>
        <n v="49819.687420000002"/>
        <n v="23940.467100000002"/>
        <n v="40899.405639999997"/>
        <n v="30976.08496"/>
        <n v="32251.3518"/>
        <n v="36628.533150000003"/>
        <n v="19088.08106"/>
        <n v="48078.308510000003"/>
        <n v="53529.8266"/>
        <n v="39119.901879999998"/>
        <n v="40264.282930000001"/>
        <n v="41774.643550000001"/>
        <n v="30538.744989999999"/>
        <n v="37230.916790000003"/>
        <n v="22803.815320000002"/>
        <n v="43632.889609999998"/>
        <n v="33812.71617"/>
        <n v="23858.768250000001"/>
        <n v="2664.0967449999998"/>
        <n v="19360.039339999999"/>
        <n v="22038.313539999999"/>
        <n v="32593.268749999999"/>
        <n v="25502.26168"/>
        <n v="28077.949140000001"/>
        <n v="30864.57401"/>
        <n v="38393.837319999999"/>
        <n v="21108.279770000001"/>
        <n v="28405.24163"/>
        <n v="43490.514719999999"/>
        <n v="35220.9058"/>
        <n v="23808.82314"/>
        <n v="21208.42496"/>
        <n v="18069.14459"/>
        <n v="5918.9415980000003"/>
        <n v="36565.120929999997"/>
        <n v="20145.659759999999"/>
        <n v="32344.049780000001"/>
        <n v="22245.900239999999"/>
        <n v="5915.3530760000003"/>
        <n v="19001.29724"/>
        <n v="27618.83584"/>
        <n v="31393.968369999999"/>
        <n v="11390.767889999999"/>
        <n v="37385.081680000003"/>
        <n v="21584.319500000001"/>
        <n v="41554.496899999998"/>
        <n v="21327.515869999999"/>
        <n v="53116.746659999997"/>
        <n v="30256.72049"/>
        <n v="42646.657010000003"/>
        <n v="50281.585749999998"/>
        <n v="27679.735339999999"/>
        <n v="22082.339820000001"/>
        <n v="25442.775809999999"/>
        <n v="40139.883829999999"/>
        <n v="18467.956719999998"/>
        <n v="31190.997289999999"/>
      </sharedItems>
    </cacheField>
    <cacheField name="Variance" numFmtId="0">
      <sharedItems containsSemiMixedTypes="0" containsString="0" containsNumber="1" minValue="-9819.3919170000008" maxValue="9842.6663270000008"/>
    </cacheField>
    <cacheField name="% Variance" numFmtId="0">
      <sharedItems containsSemiMixedTypes="0" containsString="0" containsNumber="1" minValue="-77.09" maxValue="80.55"/>
    </cacheField>
    <cacheField name="Performance Category" numFmtId="0">
      <sharedItems count="4">
        <s v="Under Budget"/>
        <s v="Significantly Over Budget"/>
        <s v="Slightly Over Budget"/>
        <s v="Within Budget"/>
      </sharedItems>
    </cacheField>
  </cacheFields>
  <extLst>
    <ext xmlns:x14="http://schemas.microsoft.com/office/spreadsheetml/2009/9/main" uri="{725AE2AE-9491-48be-B2B4-4EB974FC3084}">
      <x14:pivotCacheDefinition pivotCacheId="836562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2123.7742710000002"/>
    <n v="10.67"/>
    <x v="0"/>
  </r>
  <r>
    <x v="1"/>
    <x v="1"/>
    <x v="1"/>
    <x v="1"/>
    <n v="1954.471305"/>
    <n v="6.04"/>
    <x v="0"/>
  </r>
  <r>
    <x v="2"/>
    <x v="1"/>
    <x v="2"/>
    <x v="2"/>
    <n v="5859.1218920000001"/>
    <n v="30.8"/>
    <x v="0"/>
  </r>
  <r>
    <x v="2"/>
    <x v="1"/>
    <x v="3"/>
    <x v="3"/>
    <n v="3100.1867769999999"/>
    <n v="18.87"/>
    <x v="0"/>
  </r>
  <r>
    <x v="3"/>
    <x v="2"/>
    <x v="4"/>
    <x v="4"/>
    <n v="9842.6663270000008"/>
    <n v="27.29"/>
    <x v="0"/>
  </r>
  <r>
    <x v="3"/>
    <x v="1"/>
    <x v="5"/>
    <x v="5"/>
    <n v="-4322.9094279999999"/>
    <n v="-18.77"/>
    <x v="1"/>
  </r>
  <r>
    <x v="1"/>
    <x v="3"/>
    <x v="6"/>
    <x v="6"/>
    <n v="-2816.9794069999998"/>
    <n v="-8.3800000000000008"/>
    <x v="2"/>
  </r>
  <r>
    <x v="1"/>
    <x v="4"/>
    <x v="7"/>
    <x v="7"/>
    <n v="-2323.056963"/>
    <n v="-8.5"/>
    <x v="2"/>
  </r>
  <r>
    <x v="4"/>
    <x v="5"/>
    <x v="8"/>
    <x v="8"/>
    <n v="-683.74385959999995"/>
    <n v="-1.38"/>
    <x v="3"/>
  </r>
  <r>
    <x v="3"/>
    <x v="0"/>
    <x v="9"/>
    <x v="9"/>
    <n v="6719.961276"/>
    <n v="42.04"/>
    <x v="0"/>
  </r>
  <r>
    <x v="0"/>
    <x v="4"/>
    <x v="10"/>
    <x v="10"/>
    <n v="-5284.1581210000004"/>
    <n v="-18.489999999999998"/>
    <x v="1"/>
  </r>
  <r>
    <x v="2"/>
    <x v="6"/>
    <x v="11"/>
    <x v="11"/>
    <n v="5520.0041410000003"/>
    <n v="14.83"/>
    <x v="0"/>
  </r>
  <r>
    <x v="1"/>
    <x v="0"/>
    <x v="12"/>
    <x v="12"/>
    <n v="-1893.7963380000001"/>
    <n v="-7.33"/>
    <x v="2"/>
  </r>
  <r>
    <x v="2"/>
    <x v="4"/>
    <x v="13"/>
    <x v="13"/>
    <n v="2037.107673"/>
    <n v="4.16"/>
    <x v="3"/>
  </r>
  <r>
    <x v="2"/>
    <x v="0"/>
    <x v="14"/>
    <x v="14"/>
    <n v="2650.810665"/>
    <n v="6.82"/>
    <x v="0"/>
  </r>
  <r>
    <x v="4"/>
    <x v="6"/>
    <x v="15"/>
    <x v="15"/>
    <n v="-2543.0272559999999"/>
    <n v="-7.01"/>
    <x v="2"/>
  </r>
  <r>
    <x v="3"/>
    <x v="7"/>
    <x v="16"/>
    <x v="16"/>
    <n v="252.30410409999999"/>
    <n v="0.63"/>
    <x v="3"/>
  </r>
  <r>
    <x v="1"/>
    <x v="3"/>
    <x v="17"/>
    <x v="17"/>
    <n v="-1739.3765069999999"/>
    <n v="-3.62"/>
    <x v="3"/>
  </r>
  <r>
    <x v="2"/>
    <x v="2"/>
    <x v="18"/>
    <x v="18"/>
    <n v="-8617.3442759999998"/>
    <n v="-18.61"/>
    <x v="1"/>
  </r>
  <r>
    <x v="1"/>
    <x v="2"/>
    <x v="19"/>
    <x v="19"/>
    <n v="-1256.6922239999999"/>
    <n v="-3.22"/>
    <x v="3"/>
  </r>
  <r>
    <x v="0"/>
    <x v="5"/>
    <x v="20"/>
    <x v="20"/>
    <n v="-8052.132149"/>
    <n v="-20.149999999999999"/>
    <x v="1"/>
  </r>
  <r>
    <x v="4"/>
    <x v="1"/>
    <x v="21"/>
    <x v="21"/>
    <n v="-1899.584018"/>
    <n v="-11.99"/>
    <x v="1"/>
  </r>
  <r>
    <x v="0"/>
    <x v="3"/>
    <x v="22"/>
    <x v="22"/>
    <n v="1858.3679970000001"/>
    <n v="13.17"/>
    <x v="0"/>
  </r>
  <r>
    <x v="1"/>
    <x v="8"/>
    <x v="23"/>
    <x v="23"/>
    <n v="1588.2979869999999"/>
    <n v="4.84"/>
    <x v="3"/>
  </r>
  <r>
    <x v="1"/>
    <x v="1"/>
    <x v="24"/>
    <x v="24"/>
    <n v="3252.4255800000001"/>
    <n v="30.3"/>
    <x v="0"/>
  </r>
  <r>
    <x v="3"/>
    <x v="5"/>
    <x v="25"/>
    <x v="25"/>
    <n v="-8094.7698410000003"/>
    <n v="-27.63"/>
    <x v="1"/>
  </r>
  <r>
    <x v="2"/>
    <x v="9"/>
    <x v="26"/>
    <x v="26"/>
    <n v="3042.464911"/>
    <n v="16.52"/>
    <x v="0"/>
  </r>
  <r>
    <x v="2"/>
    <x v="3"/>
    <x v="27"/>
    <x v="27"/>
    <n v="-3757.0388659999999"/>
    <n v="-15.76"/>
    <x v="1"/>
  </r>
  <r>
    <x v="0"/>
    <x v="4"/>
    <x v="28"/>
    <x v="28"/>
    <n v="-2019.0810770000001"/>
    <n v="-4.92"/>
    <x v="3"/>
  </r>
  <r>
    <x v="4"/>
    <x v="0"/>
    <x v="29"/>
    <x v="29"/>
    <n v="7159.7250780000004"/>
    <n v="15.03"/>
    <x v="0"/>
  </r>
  <r>
    <x v="2"/>
    <x v="8"/>
    <x v="30"/>
    <x v="30"/>
    <n v="-9819.3919170000008"/>
    <n v="-76.14"/>
    <x v="1"/>
  </r>
  <r>
    <x v="3"/>
    <x v="3"/>
    <x v="31"/>
    <x v="31"/>
    <n v="1768.252667"/>
    <n v="5.64"/>
    <x v="0"/>
  </r>
  <r>
    <x v="0"/>
    <x v="6"/>
    <x v="32"/>
    <x v="32"/>
    <n v="1974.2796020000001"/>
    <n v="4.3600000000000003"/>
    <x v="3"/>
  </r>
  <r>
    <x v="0"/>
    <x v="9"/>
    <x v="33"/>
    <x v="33"/>
    <n v="-2066.8044730000001"/>
    <n v="-15.54"/>
    <x v="1"/>
  </r>
  <r>
    <x v="3"/>
    <x v="6"/>
    <x v="34"/>
    <x v="34"/>
    <n v="-5259.4428580000003"/>
    <n v="-12.24"/>
    <x v="1"/>
  </r>
  <r>
    <x v="4"/>
    <x v="2"/>
    <x v="35"/>
    <x v="35"/>
    <n v="-5306.5192349999998"/>
    <n v="-21.83"/>
    <x v="1"/>
  </r>
  <r>
    <x v="3"/>
    <x v="2"/>
    <x v="36"/>
    <x v="36"/>
    <n v="7674.1933929999996"/>
    <n v="33.54"/>
    <x v="0"/>
  </r>
  <r>
    <x v="4"/>
    <x v="1"/>
    <x v="37"/>
    <x v="37"/>
    <n v="-1159.512524"/>
    <n v="-2.36"/>
    <x v="3"/>
  </r>
  <r>
    <x v="3"/>
    <x v="4"/>
    <x v="38"/>
    <x v="38"/>
    <n v="-3382.2127399999999"/>
    <n v="-18.75"/>
    <x v="1"/>
  </r>
  <r>
    <x v="3"/>
    <x v="8"/>
    <x v="39"/>
    <x v="39"/>
    <n v="-1024.448523"/>
    <n v="-2.72"/>
    <x v="3"/>
  </r>
  <r>
    <x v="1"/>
    <x v="10"/>
    <x v="40"/>
    <x v="40"/>
    <n v="3387.8080289999998"/>
    <n v="7.9"/>
    <x v="0"/>
  </r>
  <r>
    <x v="0"/>
    <x v="9"/>
    <x v="41"/>
    <x v="41"/>
    <n v="-7084.8686349999998"/>
    <n v="-60.83"/>
    <x v="1"/>
  </r>
  <r>
    <x v="3"/>
    <x v="9"/>
    <x v="42"/>
    <x v="42"/>
    <n v="-1011.323296"/>
    <n v="-2.75"/>
    <x v="3"/>
  </r>
  <r>
    <x v="3"/>
    <x v="3"/>
    <x v="43"/>
    <x v="43"/>
    <n v="1757.687422"/>
    <n v="3.66"/>
    <x v="3"/>
  </r>
  <r>
    <x v="2"/>
    <x v="1"/>
    <x v="44"/>
    <x v="44"/>
    <n v="8971.6670969999996"/>
    <n v="59.94"/>
    <x v="0"/>
  </r>
  <r>
    <x v="0"/>
    <x v="2"/>
    <x v="45"/>
    <x v="45"/>
    <n v="-4949.4443579999997"/>
    <n v="-10.8"/>
    <x v="1"/>
  </r>
  <r>
    <x v="2"/>
    <x v="1"/>
    <x v="46"/>
    <x v="46"/>
    <n v="-2814.9850419999998"/>
    <n v="-8.33"/>
    <x v="2"/>
  </r>
  <r>
    <x v="0"/>
    <x v="0"/>
    <x v="47"/>
    <x v="47"/>
    <n v="-2412.8282020000001"/>
    <n v="-6.96"/>
    <x v="2"/>
  </r>
  <r>
    <x v="2"/>
    <x v="3"/>
    <x v="48"/>
    <x v="48"/>
    <n v="2110.7631529999999"/>
    <n v="6.12"/>
    <x v="0"/>
  </r>
  <r>
    <x v="3"/>
    <x v="3"/>
    <x v="49"/>
    <x v="49"/>
    <n v="-2865.3589390000002"/>
    <n v="-13.05"/>
    <x v="1"/>
  </r>
  <r>
    <x v="3"/>
    <x v="8"/>
    <x v="50"/>
    <x v="50"/>
    <n v="670.23850600000003"/>
    <n v="1.41"/>
    <x v="3"/>
  </r>
  <r>
    <x v="1"/>
    <x v="4"/>
    <x v="51"/>
    <x v="51"/>
    <n v="5635.8065969999998"/>
    <n v="11.77"/>
    <x v="0"/>
  </r>
  <r>
    <x v="2"/>
    <x v="5"/>
    <x v="52"/>
    <x v="52"/>
    <n v="4107.7118819999996"/>
    <n v="11.73"/>
    <x v="0"/>
  </r>
  <r>
    <x v="4"/>
    <x v="7"/>
    <x v="53"/>
    <x v="53"/>
    <n v="-1072.62707"/>
    <n v="-2.59"/>
    <x v="3"/>
  </r>
  <r>
    <x v="1"/>
    <x v="5"/>
    <x v="54"/>
    <x v="54"/>
    <n v="7284.3235530000002"/>
    <n v="21.12"/>
    <x v="0"/>
  </r>
  <r>
    <x v="2"/>
    <x v="11"/>
    <x v="55"/>
    <x v="55"/>
    <n v="1162.8049920000001"/>
    <n v="3.96"/>
    <x v="3"/>
  </r>
  <r>
    <x v="2"/>
    <x v="11"/>
    <x v="56"/>
    <x v="56"/>
    <n v="798.11679000000004"/>
    <n v="2.19"/>
    <x v="3"/>
  </r>
  <r>
    <x v="1"/>
    <x v="3"/>
    <x v="57"/>
    <x v="57"/>
    <n v="-9316.2446810000001"/>
    <n v="-29"/>
    <x v="1"/>
  </r>
  <r>
    <x v="3"/>
    <x v="1"/>
    <x v="58"/>
    <x v="58"/>
    <n v="9733.8596070000003"/>
    <n v="28.71"/>
    <x v="0"/>
  </r>
  <r>
    <x v="2"/>
    <x v="0"/>
    <x v="59"/>
    <x v="59"/>
    <n v="-7540.5838290000002"/>
    <n v="-18.23"/>
    <x v="1"/>
  </r>
  <r>
    <x v="3"/>
    <x v="8"/>
    <x v="60"/>
    <x v="60"/>
    <n v="-5377.3817509999999"/>
    <n v="-18.39"/>
    <x v="1"/>
  </r>
  <r>
    <x v="1"/>
    <x v="10"/>
    <x v="61"/>
    <x v="61"/>
    <n v="-8966.0632549999991"/>
    <n v="-77.09"/>
    <x v="1"/>
  </r>
  <r>
    <x v="3"/>
    <x v="11"/>
    <x v="62"/>
    <x v="62"/>
    <n v="2800.0593370000001"/>
    <n v="16.91"/>
    <x v="0"/>
  </r>
  <r>
    <x v="0"/>
    <x v="8"/>
    <x v="63"/>
    <x v="63"/>
    <n v="-5505.9764610000002"/>
    <n v="-19.989999999999998"/>
    <x v="1"/>
  </r>
  <r>
    <x v="4"/>
    <x v="3"/>
    <x v="64"/>
    <x v="64"/>
    <n v="-6399.7912509999996"/>
    <n v="-16.41"/>
    <x v="1"/>
  </r>
  <r>
    <x v="2"/>
    <x v="4"/>
    <x v="65"/>
    <x v="65"/>
    <n v="-8228.8883160000005"/>
    <n v="-24.4"/>
    <x v="1"/>
  </r>
  <r>
    <x v="4"/>
    <x v="6"/>
    <x v="66"/>
    <x v="66"/>
    <n v="-7933.820858"/>
    <n v="-22.03"/>
    <x v="1"/>
  </r>
  <r>
    <x v="3"/>
    <x v="5"/>
    <x v="67"/>
    <x v="67"/>
    <n v="1693.4140090000001"/>
    <n v="5.81"/>
    <x v="0"/>
  </r>
  <r>
    <x v="2"/>
    <x v="0"/>
    <x v="68"/>
    <x v="68"/>
    <n v="3764.1573170000001"/>
    <n v="10.87"/>
    <x v="0"/>
  </r>
  <r>
    <x v="3"/>
    <x v="2"/>
    <x v="69"/>
    <x v="69"/>
    <n v="-2052.4202310000001"/>
    <n v="-8.86"/>
    <x v="2"/>
  </r>
  <r>
    <x v="0"/>
    <x v="8"/>
    <x v="70"/>
    <x v="70"/>
    <n v="-402.05836820000002"/>
    <n v="-1.4"/>
    <x v="3"/>
  </r>
  <r>
    <x v="1"/>
    <x v="4"/>
    <x v="71"/>
    <x v="71"/>
    <n v="3719.3547199999998"/>
    <n v="9.35"/>
    <x v="0"/>
  </r>
  <r>
    <x v="2"/>
    <x v="10"/>
    <x v="72"/>
    <x v="72"/>
    <n v="-9652.4041959999995"/>
    <n v="-21.51"/>
    <x v="1"/>
  </r>
  <r>
    <x v="0"/>
    <x v="7"/>
    <x v="73"/>
    <x v="73"/>
    <n v="-3537.3868590000002"/>
    <n v="-12.94"/>
    <x v="1"/>
  </r>
  <r>
    <x v="0"/>
    <x v="5"/>
    <x v="74"/>
    <x v="74"/>
    <n v="9461.9549609999995"/>
    <n v="80.55"/>
    <x v="0"/>
  </r>
  <r>
    <x v="2"/>
    <x v="2"/>
    <x v="75"/>
    <x v="75"/>
    <n v="1602.244594"/>
    <n v="9.73"/>
    <x v="0"/>
  </r>
  <r>
    <x v="3"/>
    <x v="5"/>
    <x v="76"/>
    <x v="76"/>
    <n v="-4915.5084020000004"/>
    <n v="-45.37"/>
    <x v="1"/>
  </r>
  <r>
    <x v="0"/>
    <x v="3"/>
    <x v="77"/>
    <x v="77"/>
    <n v="434.60093269999999"/>
    <n v="1.2"/>
    <x v="3"/>
  </r>
  <r>
    <x v="4"/>
    <x v="7"/>
    <x v="78"/>
    <x v="78"/>
    <n v="-3146.9302379999999"/>
    <n v="-13.51"/>
    <x v="1"/>
  </r>
  <r>
    <x v="0"/>
    <x v="5"/>
    <x v="79"/>
    <x v="79"/>
    <n v="644.89977650000003"/>
    <n v="2.0299999999999998"/>
    <x v="3"/>
  </r>
  <r>
    <x v="3"/>
    <x v="10"/>
    <x v="80"/>
    <x v="80"/>
    <n v="-7485.1697640000002"/>
    <n v="-25.18"/>
    <x v="1"/>
  </r>
  <r>
    <x v="3"/>
    <x v="4"/>
    <x v="81"/>
    <x v="81"/>
    <n v="-7345.7069240000001"/>
    <n v="-55.39"/>
    <x v="1"/>
  </r>
  <r>
    <x v="4"/>
    <x v="11"/>
    <x v="82"/>
    <x v="82"/>
    <n v="-7129.1527589999996"/>
    <n v="-27.28"/>
    <x v="1"/>
  </r>
  <r>
    <x v="0"/>
    <x v="7"/>
    <x v="83"/>
    <x v="83"/>
    <n v="8796.3958390000007"/>
    <n v="46.73"/>
    <x v="0"/>
  </r>
  <r>
    <x v="3"/>
    <x v="3"/>
    <x v="84"/>
    <x v="84"/>
    <n v="4657.9783669999997"/>
    <n v="17.420000000000002"/>
    <x v="0"/>
  </r>
  <r>
    <x v="2"/>
    <x v="2"/>
    <x v="85"/>
    <x v="85"/>
    <n v="-6752.3621069999999"/>
    <n v="-37.22"/>
    <x v="1"/>
  </r>
  <r>
    <x v="1"/>
    <x v="1"/>
    <x v="86"/>
    <x v="86"/>
    <n v="-6233.018325"/>
    <n v="-14.29"/>
    <x v="1"/>
  </r>
  <r>
    <x v="1"/>
    <x v="9"/>
    <x v="87"/>
    <x v="87"/>
    <n v="4616.5894969999999"/>
    <n v="27.21"/>
    <x v="0"/>
  </r>
  <r>
    <x v="1"/>
    <x v="8"/>
    <x v="88"/>
    <x v="88"/>
    <n v="-6876.7231039999997"/>
    <n v="-14.2"/>
    <x v="1"/>
  </r>
  <r>
    <x v="0"/>
    <x v="5"/>
    <x v="89"/>
    <x v="89"/>
    <n v="-5308.7741329999999"/>
    <n v="-19.93"/>
    <x v="1"/>
  </r>
  <r>
    <x v="4"/>
    <x v="11"/>
    <x v="90"/>
    <x v="90"/>
    <n v="9266.9366559999999"/>
    <n v="21.13"/>
    <x v="0"/>
  </r>
  <r>
    <x v="3"/>
    <x v="7"/>
    <x v="91"/>
    <x v="91"/>
    <n v="-4893.8695049999997"/>
    <n v="-13.92"/>
    <x v="1"/>
  </r>
  <r>
    <x v="2"/>
    <x v="5"/>
    <x v="92"/>
    <x v="92"/>
    <n v="3232.647007"/>
    <n v="8.1999999999999993"/>
    <x v="0"/>
  </r>
  <r>
    <x v="2"/>
    <x v="6"/>
    <x v="93"/>
    <x v="93"/>
    <n v="9572.6257480000004"/>
    <n v="23.51"/>
    <x v="0"/>
  </r>
  <r>
    <x v="0"/>
    <x v="8"/>
    <x v="94"/>
    <x v="94"/>
    <n v="-2514.0646569999999"/>
    <n v="-8.33"/>
    <x v="2"/>
  </r>
  <r>
    <x v="1"/>
    <x v="1"/>
    <x v="95"/>
    <x v="95"/>
    <n v="-9649.6801830000004"/>
    <n v="-30.41"/>
    <x v="1"/>
  </r>
  <r>
    <x v="0"/>
    <x v="10"/>
    <x v="96"/>
    <x v="96"/>
    <n v="-5117.0541919999996"/>
    <n v="-16.739999999999998"/>
    <x v="1"/>
  </r>
  <r>
    <x v="4"/>
    <x v="9"/>
    <x v="97"/>
    <x v="97"/>
    <n v="6617.5438270000004"/>
    <n v="19.739999999999998"/>
    <x v="0"/>
  </r>
  <r>
    <x v="4"/>
    <x v="4"/>
    <x v="98"/>
    <x v="98"/>
    <n v="7292.176719"/>
    <n v="65.25"/>
    <x v="0"/>
  </r>
  <r>
    <x v="3"/>
    <x v="5"/>
    <x v="99"/>
    <x v="99"/>
    <n v="5370.3872899999997"/>
    <n v="2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EB3034-68FE-44C5-B2E0-0F67508DC3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7:Z34" firstHeaderRow="1" firstDataRow="2" firstDataCol="1"/>
  <pivotFields count="7">
    <pivotField axis="axisRow" showAll="0">
      <items count="6">
        <item x="4"/>
        <item x="1"/>
        <item x="2"/>
        <item x="3"/>
        <item x="0"/>
        <item t="default"/>
      </items>
    </pivotField>
    <pivotField axis="axisCol" showAll="0">
      <items count="13">
        <item x="4"/>
        <item x="2"/>
        <item x="8"/>
        <item x="1"/>
        <item x="11"/>
        <item x="0"/>
        <item x="9"/>
        <item x="7"/>
        <item x="10"/>
        <item x="6"/>
        <item x="3"/>
        <item x="5"/>
        <item t="default"/>
      </items>
    </pivotField>
    <pivotField showAll="0"/>
    <pivotField showAll="0"/>
    <pivotField showAll="0"/>
    <pivotField dataField="1" showAll="0"/>
    <pivotField showAll="0"/>
  </pivotFields>
  <rowFields count="1">
    <field x="0"/>
  </rowFields>
  <rowItems count="6">
    <i>
      <x/>
    </i>
    <i>
      <x v="1"/>
    </i>
    <i>
      <x v="2"/>
    </i>
    <i>
      <x v="3"/>
    </i>
    <i>
      <x v="4"/>
    </i>
    <i t="grand">
      <x/>
    </i>
  </rowItems>
  <colFields count="1">
    <field x="1"/>
  </colFields>
  <colItems count="13">
    <i>
      <x/>
    </i>
    <i>
      <x v="1"/>
    </i>
    <i>
      <x v="2"/>
    </i>
    <i>
      <x v="3"/>
    </i>
    <i>
      <x v="4"/>
    </i>
    <i>
      <x v="5"/>
    </i>
    <i>
      <x v="6"/>
    </i>
    <i>
      <x v="7"/>
    </i>
    <i>
      <x v="8"/>
    </i>
    <i>
      <x v="9"/>
    </i>
    <i>
      <x v="10"/>
    </i>
    <i>
      <x v="11"/>
    </i>
    <i t="grand">
      <x/>
    </i>
  </colItems>
  <dataFields count="1">
    <dataField name="Average of % Variance" fld="5" subtotal="average" baseField="0" baseItem="0"/>
  </dataFields>
  <conditionalFormats count="1">
    <conditionalFormat priority="2">
      <pivotAreas count="1">
        <pivotArea type="data" collapsedLevelsAreSubtotals="1" fieldPosition="0">
          <references count="3">
            <reference field="4294967294" count="1" selected="0">
              <x v="0"/>
            </reference>
            <reference field="0" count="1">
              <x v="4"/>
            </reference>
            <reference field="1"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1BCB0E-77B3-4BC1-9F91-C5F4C0D9B2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P24" firstHeaderRow="0" firstDataRow="1" firstDataCol="1"/>
  <pivotFields count="7">
    <pivotField showAll="0">
      <items count="6">
        <item x="4"/>
        <item x="1"/>
        <item x="2"/>
        <item x="3"/>
        <item x="0"/>
        <item t="default"/>
      </items>
    </pivotField>
    <pivotField axis="axisRow" showAll="0">
      <items count="13">
        <item x="4"/>
        <item x="2"/>
        <item x="8"/>
        <item x="1"/>
        <item x="11"/>
        <item x="0"/>
        <item x="9"/>
        <item x="7"/>
        <item x="10"/>
        <item x="6"/>
        <item x="3"/>
        <item x="5"/>
        <item t="default"/>
      </items>
    </pivotField>
    <pivotField dataField="1" showAll="0"/>
    <pivotField dataField="1" showAll="0"/>
    <pivotField dataField="1" showAll="0"/>
    <pivotField showAll="0"/>
    <pivotField showAll="0">
      <items count="5">
        <item x="1"/>
        <item x="2"/>
        <item x="0"/>
        <item x="3"/>
        <item t="default"/>
      </items>
    </pivotField>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ctual" fld="3" baseField="0" baseItem="0"/>
    <dataField name="Sum of Variance" fld="4" baseField="0" baseItem="0"/>
    <dataField name="Sum of Budge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CA8BD-E0B8-4928-8CE4-6F2AC9C95C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A1:B14" firstHeaderRow="1" firstDataRow="1" firstDataCol="1"/>
  <pivotFields count="7">
    <pivotField showAll="0">
      <items count="6">
        <item x="4"/>
        <item x="1"/>
        <item x="2"/>
        <item x="3"/>
        <item x="0"/>
        <item t="default"/>
      </items>
    </pivotField>
    <pivotField axis="axisRow" showAll="0">
      <items count="13">
        <item x="4"/>
        <item x="2"/>
        <item x="8"/>
        <item x="1"/>
        <item x="11"/>
        <item x="0"/>
        <item x="9"/>
        <item x="7"/>
        <item x="10"/>
        <item x="6"/>
        <item x="3"/>
        <item x="5"/>
        <item t="default"/>
      </items>
    </pivotField>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 Variance" fld="5" subtotal="average" baseField="0" baseItem="0"/>
  </dataFields>
  <chartFormats count="2">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E0AB5-C011-444F-AB54-F3E29A7309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C29" firstHeaderRow="0" firstDataRow="1" firstDataCol="1"/>
  <pivotFields count="7">
    <pivotField showAll="0"/>
    <pivotField axis="axisRow" showAll="0">
      <items count="13">
        <item x="4"/>
        <item x="2"/>
        <item x="8"/>
        <item x="1"/>
        <item x="11"/>
        <item x="0"/>
        <item x="9"/>
        <item x="7"/>
        <item x="10"/>
        <item x="6"/>
        <item x="3"/>
        <item x="5"/>
        <item t="default"/>
      </items>
    </pivotField>
    <pivotField dataField="1"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2" baseField="0" baseItem="0"/>
    <dataField name="Sum of Actual"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C390BE-AB3C-431C-83F3-060423763781}" name="PivotTable5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N57" firstHeaderRow="1" firstDataRow="2" firstDataCol="1"/>
  <pivotFields count="7">
    <pivotField axis="axisRow" showAll="0">
      <items count="6">
        <item x="4"/>
        <item x="1"/>
        <item x="2"/>
        <item x="3"/>
        <item x="0"/>
        <item t="default"/>
      </items>
    </pivotField>
    <pivotField axis="axisCol" showAll="0">
      <items count="13">
        <item x="4"/>
        <item x="2"/>
        <item x="8"/>
        <item x="1"/>
        <item x="11"/>
        <item x="0"/>
        <item x="9"/>
        <item x="7"/>
        <item x="10"/>
        <item x="6"/>
        <item x="3"/>
        <item x="5"/>
        <item t="default"/>
      </items>
    </pivotField>
    <pivotField showAll="0"/>
    <pivotField showAll="0"/>
    <pivotField showAll="0"/>
    <pivotField dataField="1" showAll="0"/>
    <pivotField showAll="0"/>
  </pivotFields>
  <rowFields count="1">
    <field x="0"/>
  </rowFields>
  <rowItems count="6">
    <i>
      <x/>
    </i>
    <i>
      <x v="1"/>
    </i>
    <i>
      <x v="2"/>
    </i>
    <i>
      <x v="3"/>
    </i>
    <i>
      <x v="4"/>
    </i>
    <i t="grand">
      <x/>
    </i>
  </rowItems>
  <colFields count="1">
    <field x="1"/>
  </colFields>
  <colItems count="13">
    <i>
      <x/>
    </i>
    <i>
      <x v="1"/>
    </i>
    <i>
      <x v="2"/>
    </i>
    <i>
      <x v="3"/>
    </i>
    <i>
      <x v="4"/>
    </i>
    <i>
      <x v="5"/>
    </i>
    <i>
      <x v="6"/>
    </i>
    <i>
      <x v="7"/>
    </i>
    <i>
      <x v="8"/>
    </i>
    <i>
      <x v="9"/>
    </i>
    <i>
      <x v="10"/>
    </i>
    <i>
      <x v="11"/>
    </i>
    <i t="grand">
      <x/>
    </i>
  </colItems>
  <dataFields count="1">
    <dataField name="Average of % Variance" fld="5" subtotal="average" baseField="0" baseItem="0"/>
  </dataFields>
  <conditionalFormats count="1">
    <conditionalFormat priority="2">
      <pivotAreas count="1">
        <pivotArea type="data" collapsedLevelsAreSubtotals="1" fieldPosition="0">
          <references count="3">
            <reference field="4294967294" count="1" selected="0">
              <x v="0"/>
            </reference>
            <reference field="0" count="1">
              <x v="4"/>
            </reference>
            <reference field="1"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C1B3B-4F45-4716-B55C-145C2C1B3E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D22" firstHeaderRow="0" firstDataRow="1" firstDataCol="1"/>
  <pivotFields count="7">
    <pivotField axis="axisRow" showAll="0">
      <items count="6">
        <item x="4"/>
        <item x="1"/>
        <item x="2"/>
        <item x="3"/>
        <item x="0"/>
        <item t="default"/>
      </items>
    </pivotField>
    <pivotField showAll="0"/>
    <pivotField dataField="1" showAll="0"/>
    <pivotField dataField="1" showAll="0"/>
    <pivotField dataField="1"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Sum of Budget" fld="2" baseField="0" baseItem="0"/>
    <dataField name="Sum of Actual" fld="3" baseField="0" baseItem="0"/>
    <dataField name="Sum of Variance" fld="4"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D3C272-BF81-4F85-8805-5BD9677436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7" firstHeaderRow="0" firstDataRow="1" firstDataCol="1"/>
  <pivotFields count="7">
    <pivotField axis="axisRow" showAll="0">
      <items count="6">
        <item x="4"/>
        <item x="1"/>
        <item x="2"/>
        <item x="3"/>
        <item x="0"/>
        <item t="default"/>
      </items>
    </pivotField>
    <pivotField showAll="0"/>
    <pivotField dataField="1" showAll="0">
      <items count="101">
        <item x="24"/>
        <item x="76"/>
        <item x="98"/>
        <item x="61"/>
        <item x="41"/>
        <item x="74"/>
        <item x="30"/>
        <item x="81"/>
        <item x="33"/>
        <item x="22"/>
        <item x="44"/>
        <item x="21"/>
        <item x="9"/>
        <item x="3"/>
        <item x="75"/>
        <item x="62"/>
        <item x="87"/>
        <item x="38"/>
        <item x="85"/>
        <item x="26"/>
        <item x="83"/>
        <item x="2"/>
        <item x="0"/>
        <item x="49"/>
        <item x="36"/>
        <item x="5"/>
        <item x="69"/>
        <item x="78"/>
        <item x="27"/>
        <item x="35"/>
        <item x="99"/>
        <item x="12"/>
        <item x="82"/>
        <item x="89"/>
        <item x="84"/>
        <item x="7"/>
        <item x="73"/>
        <item x="63"/>
        <item x="10"/>
        <item x="70"/>
        <item x="67"/>
        <item x="60"/>
        <item x="25"/>
        <item x="55"/>
        <item x="80"/>
        <item x="94"/>
        <item x="96"/>
        <item x="31"/>
        <item x="79"/>
        <item x="95"/>
        <item x="57"/>
        <item x="1"/>
        <item x="23"/>
        <item x="97"/>
        <item x="6"/>
        <item x="65"/>
        <item x="46"/>
        <item x="58"/>
        <item x="54"/>
        <item x="48"/>
        <item x="68"/>
        <item x="47"/>
        <item x="52"/>
        <item x="91"/>
        <item x="66"/>
        <item x="4"/>
        <item x="77"/>
        <item x="15"/>
        <item x="56"/>
        <item x="42"/>
        <item x="11"/>
        <item x="39"/>
        <item x="14"/>
        <item x="19"/>
        <item x="64"/>
        <item x="92"/>
        <item x="71"/>
        <item x="20"/>
        <item x="16"/>
        <item x="93"/>
        <item x="28"/>
        <item x="53"/>
        <item x="59"/>
        <item x="40"/>
        <item x="34"/>
        <item x="86"/>
        <item x="90"/>
        <item x="72"/>
        <item x="32"/>
        <item x="45"/>
        <item x="18"/>
        <item x="50"/>
        <item x="29"/>
        <item x="51"/>
        <item x="43"/>
        <item x="17"/>
        <item x="88"/>
        <item x="13"/>
        <item x="37"/>
        <item x="8"/>
        <item t="default"/>
      </items>
    </pivotField>
    <pivotField dataField="1" showAll="0"/>
    <pivotField showAll="0"/>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Sum of Actual" fld="3" baseField="0" baseItem="0"/>
    <dataField name="Sum of Budge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E841333B-43E1-49C1-9E41-65CF4310DE31}" sourceName="Performance Category">
  <pivotTables>
    <pivotTable tabId="1" name="PivotTable2"/>
  </pivotTables>
  <data>
    <tabular pivotCacheId="83656266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45A5DA-3C11-4E15-A7CB-6166859A78E3}" sourceName="Department">
  <pivotTables>
    <pivotTable tabId="1" name="PivotTable2"/>
  </pivotTables>
  <data>
    <tabular pivotCacheId="836562664">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nce_range" xr10:uid="{7BE07C29-0E10-4A36-8847-CCB431C895F6}" sourceName="variance range">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Category" xr10:uid="{79F5C414-B26F-45B3-9FF3-A7E1F01EE8D0}" cache="Slicer_Performance_Category" caption="Performance Category" rowHeight="234950"/>
  <slicer name="Department" xr10:uid="{56E6CFAB-2321-45D1-AFB9-3B37A1CBA314}"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riance range" xr10:uid="{702905AF-EDBD-4542-B45B-44A23E86FA54}" cache="Slicer_variance_range" caption="variance rang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Category 1" xr10:uid="{2FDC2E91-00F5-46E2-B547-F61EECC5E541}" cache="Slicer_Performance_Category" caption="Performance Category" rowHeight="234950"/>
  <slicer name="Department 1" xr10:uid="{A72FA39C-85D4-434B-8ADB-A0B1FF2604B4}"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riance range 1" xr10:uid="{C8585CDB-38AE-448B-A824-F54D08E01A5F}" cache="Slicer_variance_range" caption="variance ran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0704F6-A570-4322-8DB1-F12CC289E2E0}" name="Table1" displayName="Table1" ref="A1:J101" totalsRowShown="0" headerRowDxfId="4">
  <autoFilter ref="A1:J101" xr:uid="{BA0704F6-A570-4322-8DB1-F12CC289E2E0}"/>
  <sortState xmlns:xlrd2="http://schemas.microsoft.com/office/spreadsheetml/2017/richdata2" ref="A2:I101">
    <sortCondition ref="B2:B101" customList="Jan,Feb,Mar,Apr,May,Jun,Jul,Aug,Sep,Oct,Nov,Dec"/>
  </sortState>
  <tableColumns count="10">
    <tableColumn id="1" xr3:uid="{C4BA171D-9298-432C-96CB-E148B5728440}" name="Department"/>
    <tableColumn id="2" xr3:uid="{347261FD-733C-4697-80B7-9C3B9B87C3D6}" name="Month"/>
    <tableColumn id="3" xr3:uid="{477F13A4-2D59-442D-AD84-0A8445E01969}" name="Budget"/>
    <tableColumn id="4" xr3:uid="{8A341E19-8F27-4628-99DB-343694965681}" name="Actual"/>
    <tableColumn id="5" xr3:uid="{B79243CA-24B4-4E17-8B1D-A79F38EDB2E9}" name="Variance" dataDxfId="3"/>
    <tableColumn id="6" xr3:uid="{06C1BE12-609D-4545-B7CD-B8D811CD1419}" name="% Variance"/>
    <tableColumn id="7" xr3:uid="{69213175-2E40-4163-8682-97486BBE33F2}" name="Performance Category">
      <calculatedColumnFormula>IF(F2&gt;5,"Under Budget",IF(F2&gt;=-5,"Within Budget",IF(F2&gt;=-10,"Slightly Over Budget","Significantly Over Budget")))</calculatedColumnFormula>
    </tableColumn>
    <tableColumn id="8" xr3:uid="{3706BEEF-AE13-4F81-81DC-1883820D95B7}" name="Total" dataDxfId="2">
      <calculatedColumnFormula>SUM($E$2:E2)</calculatedColumnFormula>
    </tableColumn>
    <tableColumn id="9" xr3:uid="{7940B3D4-1B27-4CD1-BD2C-11B2584D2DA1}" name="percent variance" dataDxfId="1">
      <calculatedColumnFormula>E2/C2*100</calculatedColumnFormula>
    </tableColumn>
    <tableColumn id="10" xr3:uid="{ECB3B704-CA27-4AC8-BA7B-989BCF7362DB}" name="variance range" dataDxfId="0">
      <calculatedColumnFormula>IF(F2&gt;=10,"Above +10%",
   IF(F2&gt;=5,"+5% to +10%",
   IF(F2&gt;=-5,"-5% to +5%",
   IF(F2&gt;=-10,"-10% to -5%","Below -10%"))))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E05E-BC1F-4144-BC97-747FAA5B9A3B}">
  <dimension ref="A1"/>
  <sheetViews>
    <sheetView topLeftCell="A16" workbookViewId="0">
      <selection activeCell="M28" sqref="M27:Q28"/>
    </sheetView>
  </sheetViews>
  <sheetFormatPr defaultRowHeight="14.4"/>
  <cols>
    <col min="1" max="1" width="12.5546875"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6786-D07A-48AB-AC03-16E0BA350CC9}">
  <dimension ref="A1"/>
  <sheetViews>
    <sheetView workbookViewId="0">
      <selection activeCell="I1" sqref="I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57D6-FC6C-42B1-94CC-50EA7868568F}">
  <dimension ref="A1:Z103"/>
  <sheetViews>
    <sheetView workbookViewId="0"/>
  </sheetViews>
  <sheetFormatPr defaultRowHeight="14.4"/>
  <cols>
    <col min="1" max="1" width="13" customWidth="1"/>
    <col min="2" max="3" width="13.77734375" customWidth="1"/>
    <col min="4" max="4" width="13.33203125" customWidth="1"/>
    <col min="5" max="5" width="13.33203125" style="6" customWidth="1"/>
    <col min="6" max="6" width="14" customWidth="1"/>
    <col min="7" max="7" width="22.33203125" customWidth="1"/>
    <col min="8" max="8" width="13.33203125" customWidth="1"/>
    <col min="9" max="11" width="16.88671875" customWidth="1"/>
    <col min="12" max="12" width="13.33203125" customWidth="1"/>
    <col min="13" max="13" width="20" bestFit="1" customWidth="1"/>
    <col min="14" max="14" width="15.5546875" bestFit="1" customWidth="1"/>
    <col min="15" max="16" width="12.6640625" bestFit="1" customWidth="1"/>
    <col min="17" max="17" width="12" bestFit="1" customWidth="1"/>
    <col min="18" max="18" width="6.6640625" bestFit="1" customWidth="1"/>
    <col min="19" max="19" width="8" bestFit="1" customWidth="1"/>
    <col min="20" max="20" width="12.6640625" bestFit="1" customWidth="1"/>
    <col min="21" max="21" width="12" bestFit="1" customWidth="1"/>
    <col min="22" max="22" width="10.21875" bestFit="1" customWidth="1"/>
    <col min="23" max="23" width="12" bestFit="1" customWidth="1"/>
    <col min="24" max="24" width="12.6640625" bestFit="1" customWidth="1"/>
    <col min="25" max="25" width="12" bestFit="1" customWidth="1"/>
    <col min="26" max="26" width="12.6640625" bestFit="1" customWidth="1"/>
  </cols>
  <sheetData>
    <row r="1" spans="1:19">
      <c r="A1" s="1" t="s">
        <v>0</v>
      </c>
      <c r="B1" s="14" t="s">
        <v>1</v>
      </c>
      <c r="C1" s="1" t="s">
        <v>2</v>
      </c>
      <c r="D1" s="1" t="s">
        <v>3</v>
      </c>
      <c r="E1" s="5" t="s">
        <v>4</v>
      </c>
      <c r="F1" s="1" t="s">
        <v>5</v>
      </c>
      <c r="G1" s="1" t="s">
        <v>94</v>
      </c>
      <c r="H1" s="1" t="s">
        <v>115</v>
      </c>
      <c r="I1" s="1" t="s">
        <v>116</v>
      </c>
      <c r="J1" s="1" t="s">
        <v>123</v>
      </c>
      <c r="K1" s="1" t="s">
        <v>119</v>
      </c>
      <c r="L1" s="1" t="s">
        <v>118</v>
      </c>
      <c r="Q1" t="s">
        <v>102</v>
      </c>
      <c r="R1" t="s">
        <v>103</v>
      </c>
    </row>
    <row r="2" spans="1:19">
      <c r="A2" t="s">
        <v>15</v>
      </c>
      <c r="B2" t="s">
        <v>22</v>
      </c>
      <c r="C2">
        <v>43849.81</v>
      </c>
      <c r="D2">
        <v>53116.746659999997</v>
      </c>
      <c r="E2" s="6">
        <v>9266.9366559999999</v>
      </c>
      <c r="F2">
        <v>21.13</v>
      </c>
      <c r="G2" t="str">
        <f t="shared" ref="G2:G33" si="0">IF(F2&gt;5,"Under Budget",IF(F2&gt;=-5,"Within Budget",IF(F2&gt;=-10,"Slightly Over Budget","Significantly Over Budget")))</f>
        <v>Under Budget</v>
      </c>
      <c r="H2" s="6">
        <f>SUM($E$2:E2)</f>
        <v>9266.9366559999999</v>
      </c>
      <c r="I2" s="6">
        <f t="shared" ref="I2:I33" si="1">E2/C2*100</f>
        <v>21.13335646380224</v>
      </c>
      <c r="J2" s="6" t="str">
        <f t="shared" ref="J2:J33" si="2">IF(F2&gt;=10,"Above +10%",
   IF(F2&gt;=5,"+5% to +10%",
   IF(F2&gt;=-5,"-5% to +5%",
   IF(F2&gt;=-10,"-10% to -5%","Below -10%"))))</f>
        <v>Above +10%</v>
      </c>
      <c r="K2" s="6">
        <f>AVERAGE(F:F)</f>
        <v>-1.921700000000002</v>
      </c>
      <c r="L2" s="6">
        <f>_xlfn.STDEV.P(F:F)</f>
        <v>25.047660212283301</v>
      </c>
      <c r="M2" s="6"/>
      <c r="R2">
        <f>SUM(C:C)</f>
        <v>3080839.8600000003</v>
      </c>
      <c r="S2">
        <f>SUM(D:D)</f>
        <v>3020568.5373969995</v>
      </c>
    </row>
    <row r="3" spans="1:19">
      <c r="A3" t="s">
        <v>11</v>
      </c>
      <c r="B3" t="s">
        <v>22</v>
      </c>
      <c r="C3">
        <v>16559.98</v>
      </c>
      <c r="D3">
        <v>19360.039339999999</v>
      </c>
      <c r="E3" s="6">
        <v>2800.0593370000001</v>
      </c>
      <c r="F3">
        <v>16.91</v>
      </c>
      <c r="G3" t="str">
        <f t="shared" si="0"/>
        <v>Under Budget</v>
      </c>
      <c r="H3" s="6">
        <f>SUM($E$2:E3)</f>
        <v>12066.995993</v>
      </c>
      <c r="I3" s="6">
        <f t="shared" si="1"/>
        <v>16.908591296607849</v>
      </c>
      <c r="J3" s="6" t="str">
        <f t="shared" si="2"/>
        <v>Above +10%</v>
      </c>
      <c r="K3" s="6"/>
      <c r="L3" s="6"/>
    </row>
    <row r="4" spans="1:19">
      <c r="A4" t="s">
        <v>10</v>
      </c>
      <c r="B4" t="s">
        <v>22</v>
      </c>
      <c r="C4">
        <v>29375.94</v>
      </c>
      <c r="D4">
        <v>30538.744989999999</v>
      </c>
      <c r="E4" s="6">
        <v>1162.8049920000001</v>
      </c>
      <c r="F4">
        <v>3.96</v>
      </c>
      <c r="G4" t="str">
        <f t="shared" si="0"/>
        <v>Within Budget</v>
      </c>
      <c r="H4" s="6">
        <f>SUM($E$2:E4)</f>
        <v>13229.800985</v>
      </c>
      <c r="I4" s="6">
        <f t="shared" si="1"/>
        <v>3.9583584116797632</v>
      </c>
      <c r="J4" s="6" t="str">
        <f t="shared" si="2"/>
        <v>-5% to +5%</v>
      </c>
      <c r="K4" s="6"/>
      <c r="L4" s="6"/>
    </row>
    <row r="5" spans="1:19">
      <c r="A5" t="s">
        <v>10</v>
      </c>
      <c r="B5" t="s">
        <v>22</v>
      </c>
      <c r="C5">
        <v>36432.800000000003</v>
      </c>
      <c r="D5">
        <v>37230.916790000003</v>
      </c>
      <c r="E5" s="6">
        <v>798.11679000000004</v>
      </c>
      <c r="F5">
        <v>2.19</v>
      </c>
      <c r="G5" t="str">
        <f t="shared" si="0"/>
        <v>Within Budget</v>
      </c>
      <c r="H5" s="6">
        <f>SUM($E$2:E5)</f>
        <v>14027.917775</v>
      </c>
      <c r="I5" s="6">
        <f t="shared" si="1"/>
        <v>2.190654547550559</v>
      </c>
      <c r="J5" s="6" t="str">
        <f t="shared" si="2"/>
        <v>-5% to +5%</v>
      </c>
      <c r="K5" s="6"/>
      <c r="L5" s="6"/>
    </row>
    <row r="6" spans="1:19">
      <c r="A6" t="s">
        <v>15</v>
      </c>
      <c r="B6" t="s">
        <v>22</v>
      </c>
      <c r="C6">
        <v>26130.45</v>
      </c>
      <c r="D6">
        <v>19001.29724</v>
      </c>
      <c r="E6" s="6">
        <v>-7129.1527589999996</v>
      </c>
      <c r="F6">
        <v>-27.28</v>
      </c>
      <c r="G6" t="str">
        <f t="shared" si="0"/>
        <v>Significantly Over Budget</v>
      </c>
      <c r="H6" s="6">
        <f>SUM($E$2:E6)</f>
        <v>6898.7650160000003</v>
      </c>
      <c r="I6" s="6">
        <f t="shared" si="1"/>
        <v>-27.282931442053233</v>
      </c>
      <c r="J6" s="6" t="str">
        <f t="shared" si="2"/>
        <v>Below -10%</v>
      </c>
      <c r="K6" s="6"/>
      <c r="L6" s="6"/>
    </row>
    <row r="7" spans="1:19">
      <c r="A7" t="s">
        <v>10</v>
      </c>
      <c r="B7" t="s">
        <v>9</v>
      </c>
      <c r="C7">
        <v>14968.8</v>
      </c>
      <c r="D7">
        <v>23940.467100000002</v>
      </c>
      <c r="E7" s="6">
        <v>8971.6670969999996</v>
      </c>
      <c r="F7">
        <v>59.94</v>
      </c>
      <c r="G7" t="str">
        <f t="shared" si="0"/>
        <v>Under Budget</v>
      </c>
      <c r="H7" s="6">
        <f>SUM($E$2:E7)</f>
        <v>15870.432112999999</v>
      </c>
      <c r="I7" s="6">
        <f t="shared" si="1"/>
        <v>59.935780403238738</v>
      </c>
      <c r="J7" s="6" t="str">
        <f t="shared" si="2"/>
        <v>Above +10%</v>
      </c>
      <c r="K7" s="6"/>
      <c r="L7" s="6"/>
    </row>
    <row r="8" spans="1:19">
      <c r="A8" t="s">
        <v>10</v>
      </c>
      <c r="B8" t="s">
        <v>9</v>
      </c>
      <c r="C8">
        <v>19021.61</v>
      </c>
      <c r="D8">
        <v>24880.731889999999</v>
      </c>
      <c r="E8" s="6">
        <v>5859.1218920000001</v>
      </c>
      <c r="F8">
        <v>30.8</v>
      </c>
      <c r="G8" t="str">
        <f t="shared" si="0"/>
        <v>Under Budget</v>
      </c>
      <c r="H8" s="6">
        <f>SUM($E$2:E8)</f>
        <v>21729.554004999998</v>
      </c>
      <c r="I8" s="6">
        <f t="shared" si="1"/>
        <v>30.802449908288519</v>
      </c>
      <c r="J8" s="6" t="str">
        <f t="shared" si="2"/>
        <v>Above +10%</v>
      </c>
      <c r="K8" s="6"/>
      <c r="L8" s="6"/>
    </row>
    <row r="9" spans="1:19">
      <c r="A9" t="s">
        <v>8</v>
      </c>
      <c r="B9" t="s">
        <v>9</v>
      </c>
      <c r="C9">
        <v>10734.71</v>
      </c>
      <c r="D9">
        <v>13987.13558</v>
      </c>
      <c r="E9" s="6">
        <v>3252.4255800000001</v>
      </c>
      <c r="F9">
        <v>30.3</v>
      </c>
      <c r="G9" t="str">
        <f t="shared" si="0"/>
        <v>Under Budget</v>
      </c>
      <c r="H9" s="6">
        <f>SUM($E$2:E9)</f>
        <v>24981.979584999997</v>
      </c>
      <c r="I9" s="6">
        <f t="shared" si="1"/>
        <v>30.298215601539308</v>
      </c>
      <c r="J9" s="6" t="str">
        <f t="shared" si="2"/>
        <v>Above +10%</v>
      </c>
      <c r="K9" s="6"/>
      <c r="L9" s="6"/>
    </row>
    <row r="10" spans="1:19">
      <c r="A10" t="s">
        <v>11</v>
      </c>
      <c r="B10" t="s">
        <v>9</v>
      </c>
      <c r="C10">
        <v>33899.03</v>
      </c>
      <c r="D10">
        <v>43632.889609999998</v>
      </c>
      <c r="E10" s="6">
        <v>9733.8596070000003</v>
      </c>
      <c r="F10">
        <v>28.71</v>
      </c>
      <c r="G10" t="str">
        <f t="shared" si="0"/>
        <v>Under Budget</v>
      </c>
      <c r="H10" s="6">
        <f>SUM($E$2:E10)</f>
        <v>34715.839191999999</v>
      </c>
      <c r="I10" s="6">
        <f t="shared" si="1"/>
        <v>28.714271785947858</v>
      </c>
      <c r="J10" s="6" t="str">
        <f t="shared" si="2"/>
        <v>Above +10%</v>
      </c>
      <c r="K10" s="6"/>
      <c r="L10" s="6"/>
    </row>
    <row r="11" spans="1:19">
      <c r="A11" t="s">
        <v>10</v>
      </c>
      <c r="B11" t="s">
        <v>9</v>
      </c>
      <c r="C11">
        <v>16433.02</v>
      </c>
      <c r="D11">
        <v>19533.20678</v>
      </c>
      <c r="E11" s="6">
        <v>3100.1867769999999</v>
      </c>
      <c r="F11">
        <v>18.87</v>
      </c>
      <c r="G11" t="str">
        <f t="shared" si="0"/>
        <v>Under Budget</v>
      </c>
      <c r="H11" s="6">
        <f>SUM($E$2:E11)</f>
        <v>37816.025969000002</v>
      </c>
      <c r="I11" s="6">
        <f t="shared" si="1"/>
        <v>18.865593646207451</v>
      </c>
      <c r="J11" s="6" t="str">
        <f t="shared" si="2"/>
        <v>Above +10%</v>
      </c>
      <c r="K11" s="6"/>
      <c r="L11" s="6"/>
      <c r="M11" s="3" t="s">
        <v>95</v>
      </c>
      <c r="N11" t="s">
        <v>97</v>
      </c>
      <c r="O11" t="s">
        <v>99</v>
      </c>
      <c r="P11" t="s">
        <v>98</v>
      </c>
    </row>
    <row r="12" spans="1:19">
      <c r="A12" t="s">
        <v>8</v>
      </c>
      <c r="B12" t="s">
        <v>9</v>
      </c>
      <c r="C12">
        <v>32336.51</v>
      </c>
      <c r="D12">
        <v>34290.981310000003</v>
      </c>
      <c r="E12" s="6">
        <v>1954.471305</v>
      </c>
      <c r="F12">
        <v>6.04</v>
      </c>
      <c r="G12" t="str">
        <f t="shared" si="0"/>
        <v>Under Budget</v>
      </c>
      <c r="H12" s="6">
        <f>SUM($E$2:E12)</f>
        <v>39770.497274000001</v>
      </c>
      <c r="I12" s="6">
        <f t="shared" si="1"/>
        <v>6.0441627899856858</v>
      </c>
      <c r="J12" s="6" t="str">
        <f t="shared" si="2"/>
        <v>+5% to +10%</v>
      </c>
      <c r="K12" s="6"/>
      <c r="L12" s="6"/>
      <c r="M12" s="4" t="s">
        <v>14</v>
      </c>
      <c r="N12">
        <v>299902.86156600004</v>
      </c>
      <c r="O12">
        <v>-9898.6584320000002</v>
      </c>
      <c r="P12">
        <v>309801.51999999996</v>
      </c>
    </row>
    <row r="13" spans="1:19">
      <c r="A13" t="s">
        <v>15</v>
      </c>
      <c r="B13" t="s">
        <v>9</v>
      </c>
      <c r="C13">
        <v>49098.66</v>
      </c>
      <c r="D13">
        <v>47939.14748</v>
      </c>
      <c r="E13" s="6">
        <v>-1159.512524</v>
      </c>
      <c r="F13">
        <v>-2.36</v>
      </c>
      <c r="G13" t="str">
        <f t="shared" si="0"/>
        <v>Within Budget</v>
      </c>
      <c r="H13" s="6">
        <f>SUM($E$2:E13)</f>
        <v>38610.984750000003</v>
      </c>
      <c r="I13" s="6">
        <f t="shared" si="1"/>
        <v>-2.361597086356328</v>
      </c>
      <c r="J13" s="6" t="str">
        <f t="shared" si="2"/>
        <v>-5% to +5%</v>
      </c>
      <c r="K13" s="6"/>
      <c r="L13" s="6"/>
      <c r="M13" s="4" t="s">
        <v>12</v>
      </c>
      <c r="N13">
        <v>262344.68188000005</v>
      </c>
      <c r="O13">
        <v>-9815.6781169999995</v>
      </c>
      <c r="P13">
        <v>272160.36</v>
      </c>
    </row>
    <row r="14" spans="1:19">
      <c r="A14" t="s">
        <v>10</v>
      </c>
      <c r="B14" t="s">
        <v>9</v>
      </c>
      <c r="C14">
        <v>33791.07</v>
      </c>
      <c r="D14">
        <v>30976.08496</v>
      </c>
      <c r="E14" s="6">
        <v>-2814.9850419999998</v>
      </c>
      <c r="F14">
        <v>-8.33</v>
      </c>
      <c r="G14" t="str">
        <f t="shared" si="0"/>
        <v>Slightly Over Budget</v>
      </c>
      <c r="H14" s="6">
        <f>SUM($E$2:E14)</f>
        <v>35795.999708000003</v>
      </c>
      <c r="I14" s="6">
        <f t="shared" si="1"/>
        <v>-8.330559055987278</v>
      </c>
      <c r="J14" s="6" t="str">
        <f t="shared" si="2"/>
        <v>-10% to -5%</v>
      </c>
      <c r="K14" s="6"/>
      <c r="L14" s="6"/>
      <c r="M14" s="4" t="s">
        <v>19</v>
      </c>
      <c r="N14">
        <v>265819.911723</v>
      </c>
      <c r="O14">
        <v>-29261.508288199999</v>
      </c>
      <c r="P14">
        <v>295081.42</v>
      </c>
    </row>
    <row r="15" spans="1:19">
      <c r="A15" t="s">
        <v>15</v>
      </c>
      <c r="B15" t="s">
        <v>9</v>
      </c>
      <c r="C15">
        <v>15836.88</v>
      </c>
      <c r="D15">
        <v>13937.295980000001</v>
      </c>
      <c r="E15" s="6">
        <v>-1899.584018</v>
      </c>
      <c r="F15">
        <v>-11.99</v>
      </c>
      <c r="G15" t="str">
        <f t="shared" si="0"/>
        <v>Significantly Over Budget</v>
      </c>
      <c r="H15" s="6">
        <f>SUM($E$2:E15)</f>
        <v>33896.415690000002</v>
      </c>
      <c r="I15" s="6">
        <f t="shared" si="1"/>
        <v>-11.994685935613582</v>
      </c>
      <c r="J15" s="6" t="str">
        <f t="shared" si="2"/>
        <v>Below -10%</v>
      </c>
      <c r="K15" s="6"/>
      <c r="L15" s="6"/>
      <c r="M15" s="4" t="s">
        <v>9</v>
      </c>
      <c r="N15">
        <v>331299.47276000003</v>
      </c>
      <c r="O15">
        <v>6792.0427379999965</v>
      </c>
      <c r="P15">
        <v>324507.43</v>
      </c>
    </row>
    <row r="16" spans="1:19">
      <c r="A16" t="s">
        <v>8</v>
      </c>
      <c r="B16" t="s">
        <v>9</v>
      </c>
      <c r="C16">
        <v>43618.1</v>
      </c>
      <c r="D16">
        <v>37385.081680000003</v>
      </c>
      <c r="E16" s="6">
        <v>-6233.018325</v>
      </c>
      <c r="F16">
        <v>-14.29</v>
      </c>
      <c r="G16" t="str">
        <f t="shared" si="0"/>
        <v>Significantly Over Budget</v>
      </c>
      <c r="H16" s="6">
        <f>SUM($E$2:E16)</f>
        <v>27663.397365000001</v>
      </c>
      <c r="I16" s="6">
        <f t="shared" si="1"/>
        <v>-14.289981280706861</v>
      </c>
      <c r="J16" s="6" t="str">
        <f t="shared" si="2"/>
        <v>Below -10%</v>
      </c>
      <c r="K16" s="6"/>
      <c r="L16" s="6"/>
      <c r="M16" s="4" t="s">
        <v>22</v>
      </c>
      <c r="N16">
        <v>159247.74502</v>
      </c>
      <c r="O16">
        <v>6898.7650160000003</v>
      </c>
      <c r="P16">
        <v>152348.97999999998</v>
      </c>
    </row>
    <row r="17" spans="1:26">
      <c r="A17" t="s">
        <v>11</v>
      </c>
      <c r="B17" t="s">
        <v>9</v>
      </c>
      <c r="C17">
        <v>23037.02</v>
      </c>
      <c r="D17">
        <v>18714.110570000001</v>
      </c>
      <c r="E17" s="6">
        <v>-4322.9094279999999</v>
      </c>
      <c r="F17">
        <v>-18.77</v>
      </c>
      <c r="G17" t="str">
        <f t="shared" si="0"/>
        <v>Significantly Over Budget</v>
      </c>
      <c r="H17" s="6">
        <f>SUM($E$2:E17)</f>
        <v>23340.487937000002</v>
      </c>
      <c r="I17" s="6">
        <f t="shared" si="1"/>
        <v>-18.76505480309519</v>
      </c>
      <c r="J17" s="6" t="str">
        <f t="shared" si="2"/>
        <v>Below -10%</v>
      </c>
      <c r="K17" s="6"/>
      <c r="L17" s="6"/>
      <c r="M17" s="4" t="s">
        <v>7</v>
      </c>
      <c r="N17">
        <v>269450.02023999998</v>
      </c>
      <c r="O17">
        <v>10571.220238</v>
      </c>
      <c r="P17">
        <v>258878.8</v>
      </c>
    </row>
    <row r="18" spans="1:26">
      <c r="A18" t="s">
        <v>8</v>
      </c>
      <c r="B18" t="s">
        <v>9</v>
      </c>
      <c r="C18">
        <v>31732.02</v>
      </c>
      <c r="D18">
        <v>22082.339820000001</v>
      </c>
      <c r="E18" s="6">
        <v>-9649.6801830000004</v>
      </c>
      <c r="F18">
        <v>-30.41</v>
      </c>
      <c r="G18" t="str">
        <f t="shared" si="0"/>
        <v>Significantly Over Budget</v>
      </c>
      <c r="H18" s="6">
        <f>SUM($E$2:E18)</f>
        <v>13690.807754000001</v>
      </c>
      <c r="I18" s="6">
        <f t="shared" si="1"/>
        <v>-30.409914600457206</v>
      </c>
      <c r="J18" s="6" t="str">
        <f t="shared" si="2"/>
        <v>Below -10%</v>
      </c>
      <c r="K18" s="6"/>
      <c r="L18" s="6"/>
      <c r="M18" s="4" t="s">
        <v>20</v>
      </c>
      <c r="N18">
        <v>134780.751835</v>
      </c>
      <c r="O18">
        <v>4113.6018309999999</v>
      </c>
      <c r="P18">
        <v>130667.15</v>
      </c>
    </row>
    <row r="19" spans="1:26">
      <c r="A19" t="s">
        <v>6</v>
      </c>
      <c r="B19" t="s">
        <v>18</v>
      </c>
      <c r="C19">
        <v>18822.439999999999</v>
      </c>
      <c r="D19">
        <v>27618.83584</v>
      </c>
      <c r="E19" s="6">
        <v>8796.3958390000007</v>
      </c>
      <c r="F19">
        <v>46.73</v>
      </c>
      <c r="G19" t="str">
        <f t="shared" si="0"/>
        <v>Under Budget</v>
      </c>
      <c r="H19" s="6">
        <f>SUM($E$2:E19)</f>
        <v>22487.203593000002</v>
      </c>
      <c r="I19" s="6">
        <f t="shared" si="1"/>
        <v>46.733557599333572</v>
      </c>
      <c r="J19" s="6" t="str">
        <f t="shared" si="2"/>
        <v>Above +10%</v>
      </c>
      <c r="K19" s="6"/>
      <c r="L19" s="6"/>
      <c r="M19" s="4" t="s">
        <v>18</v>
      </c>
      <c r="N19">
        <v>182628.99625999999</v>
      </c>
      <c r="O19">
        <v>-3602.1137288999989</v>
      </c>
      <c r="P19">
        <v>186231.11</v>
      </c>
    </row>
    <row r="20" spans="1:26">
      <c r="A20" t="s">
        <v>11</v>
      </c>
      <c r="B20" t="s">
        <v>18</v>
      </c>
      <c r="C20">
        <v>40282.370000000003</v>
      </c>
      <c r="D20">
        <v>40534.674099999997</v>
      </c>
      <c r="E20" s="6">
        <v>252.30410409999999</v>
      </c>
      <c r="F20">
        <v>0.63</v>
      </c>
      <c r="G20" t="str">
        <f t="shared" si="0"/>
        <v>Within Budget</v>
      </c>
      <c r="H20" s="6">
        <f>SUM($E$2:E20)</f>
        <v>22739.507697100002</v>
      </c>
      <c r="I20" s="6">
        <f t="shared" si="1"/>
        <v>0.62633877822978135</v>
      </c>
      <c r="J20" s="6" t="str">
        <f t="shared" si="2"/>
        <v>-5% to +5%</v>
      </c>
      <c r="K20" s="6"/>
      <c r="L20" s="6"/>
      <c r="M20" s="4" t="s">
        <v>21</v>
      </c>
      <c r="N20">
        <v>131819.116625</v>
      </c>
      <c r="O20">
        <v>-27832.883377999999</v>
      </c>
      <c r="P20">
        <v>159652</v>
      </c>
    </row>
    <row r="21" spans="1:26">
      <c r="A21" t="s">
        <v>15</v>
      </c>
      <c r="B21" t="s">
        <v>18</v>
      </c>
      <c r="C21">
        <v>41336.910000000003</v>
      </c>
      <c r="D21">
        <v>40264.282930000001</v>
      </c>
      <c r="E21" s="6">
        <v>-1072.62707</v>
      </c>
      <c r="F21">
        <v>-2.59</v>
      </c>
      <c r="G21" t="str">
        <f t="shared" si="0"/>
        <v>Within Budget</v>
      </c>
      <c r="H21" s="6">
        <f>SUM($E$2:E21)</f>
        <v>21666.880627100003</v>
      </c>
      <c r="I21" s="6">
        <f t="shared" si="1"/>
        <v>-2.5948409544883733</v>
      </c>
      <c r="J21" s="6" t="str">
        <f t="shared" si="2"/>
        <v>-5% to +5%</v>
      </c>
      <c r="K21" s="6"/>
      <c r="L21" s="6"/>
      <c r="M21" s="4" t="s">
        <v>17</v>
      </c>
      <c r="N21">
        <v>239830.86851</v>
      </c>
      <c r="O21">
        <v>1330.6185190000015</v>
      </c>
      <c r="P21">
        <v>238500.24999999997</v>
      </c>
    </row>
    <row r="22" spans="1:26">
      <c r="A22" t="s">
        <v>6</v>
      </c>
      <c r="B22" t="s">
        <v>18</v>
      </c>
      <c r="C22">
        <v>27346.21</v>
      </c>
      <c r="D22">
        <v>23808.82314</v>
      </c>
      <c r="E22" s="6">
        <v>-3537.3868590000002</v>
      </c>
      <c r="F22">
        <v>-12.94</v>
      </c>
      <c r="G22" t="str">
        <f t="shared" si="0"/>
        <v>Significantly Over Budget</v>
      </c>
      <c r="H22" s="6">
        <f>SUM($E$2:E22)</f>
        <v>18129.493768100001</v>
      </c>
      <c r="I22" s="6">
        <f t="shared" si="1"/>
        <v>-12.935565326968529</v>
      </c>
      <c r="J22" s="6" t="str">
        <f t="shared" si="2"/>
        <v>Below -10%</v>
      </c>
      <c r="K22" s="6"/>
      <c r="L22" s="6"/>
      <c r="M22" s="4" t="s">
        <v>13</v>
      </c>
      <c r="N22">
        <v>375244.26088000002</v>
      </c>
      <c r="O22">
        <v>-14307.139112299999</v>
      </c>
      <c r="P22">
        <v>389551.4</v>
      </c>
    </row>
    <row r="23" spans="1:26">
      <c r="A23" t="s">
        <v>15</v>
      </c>
      <c r="B23" t="s">
        <v>18</v>
      </c>
      <c r="C23">
        <v>23292.59</v>
      </c>
      <c r="D23">
        <v>20145.659759999999</v>
      </c>
      <c r="E23" s="6">
        <v>-3146.9302379999999</v>
      </c>
      <c r="F23">
        <v>-13.51</v>
      </c>
      <c r="G23" t="str">
        <f t="shared" si="0"/>
        <v>Significantly Over Budget</v>
      </c>
      <c r="H23" s="6">
        <f>SUM($E$2:E23)</f>
        <v>14982.5635301</v>
      </c>
      <c r="I23" s="6">
        <f t="shared" si="1"/>
        <v>-13.51043502676173</v>
      </c>
      <c r="J23" s="6" t="str">
        <f t="shared" si="2"/>
        <v>Below -10%</v>
      </c>
      <c r="K23" s="6"/>
      <c r="L23" s="6"/>
      <c r="M23" s="4" t="s">
        <v>16</v>
      </c>
      <c r="N23">
        <v>368199.85009800002</v>
      </c>
      <c r="O23">
        <v>4740.4100938999973</v>
      </c>
      <c r="P23">
        <v>363459.44</v>
      </c>
    </row>
    <row r="24" spans="1:26">
      <c r="A24" t="s">
        <v>11</v>
      </c>
      <c r="B24" t="s">
        <v>18</v>
      </c>
      <c r="C24">
        <v>35150.589999999997</v>
      </c>
      <c r="D24">
        <v>30256.72049</v>
      </c>
      <c r="E24" s="6">
        <v>-4893.8695049999997</v>
      </c>
      <c r="F24">
        <v>-13.92</v>
      </c>
      <c r="G24" t="str">
        <f t="shared" si="0"/>
        <v>Significantly Over Budget</v>
      </c>
      <c r="H24" s="6">
        <f>SUM($E$2:E24)</f>
        <v>10088.694025100001</v>
      </c>
      <c r="I24" s="6">
        <f t="shared" si="1"/>
        <v>-13.922581399060444</v>
      </c>
      <c r="J24" s="6" t="str">
        <f t="shared" si="2"/>
        <v>Below -10%</v>
      </c>
      <c r="K24" s="6"/>
      <c r="L24" s="6"/>
      <c r="M24" s="4" t="s">
        <v>96</v>
      </c>
      <c r="N24">
        <v>3020568.537397</v>
      </c>
      <c r="O24">
        <v>-60271.322620500003</v>
      </c>
      <c r="P24">
        <v>3080839.8599999994</v>
      </c>
    </row>
    <row r="25" spans="1:26">
      <c r="A25" t="s">
        <v>6</v>
      </c>
      <c r="B25" t="s">
        <v>16</v>
      </c>
      <c r="C25">
        <v>11746.47</v>
      </c>
      <c r="D25">
        <v>21208.42496</v>
      </c>
      <c r="E25" s="6">
        <v>9461.9549609999995</v>
      </c>
      <c r="F25">
        <v>80.55</v>
      </c>
      <c r="G25" t="str">
        <f t="shared" si="0"/>
        <v>Under Budget</v>
      </c>
      <c r="H25" s="6">
        <f>SUM($E$2:E25)</f>
        <v>19550.648986100001</v>
      </c>
      <c r="I25" s="6">
        <f t="shared" si="1"/>
        <v>80.551475983848761</v>
      </c>
      <c r="J25" s="6" t="str">
        <f t="shared" si="2"/>
        <v>Above +10%</v>
      </c>
      <c r="K25" s="6"/>
      <c r="L25" s="6"/>
    </row>
    <row r="26" spans="1:26">
      <c r="A26" t="s">
        <v>8</v>
      </c>
      <c r="B26" t="s">
        <v>16</v>
      </c>
      <c r="C26">
        <v>34490.32</v>
      </c>
      <c r="D26">
        <v>41774.643550000001</v>
      </c>
      <c r="E26" s="6">
        <v>7284.3235530000002</v>
      </c>
      <c r="F26">
        <v>21.12</v>
      </c>
      <c r="G26" t="str">
        <f t="shared" si="0"/>
        <v>Under Budget</v>
      </c>
      <c r="H26" s="6">
        <f>SUM($E$2:E26)</f>
        <v>26834.972539100003</v>
      </c>
      <c r="I26" s="6">
        <f t="shared" si="1"/>
        <v>21.119907130464433</v>
      </c>
      <c r="J26" s="6" t="str">
        <f t="shared" si="2"/>
        <v>Above +10%</v>
      </c>
      <c r="K26" s="6"/>
      <c r="L26" s="6"/>
    </row>
    <row r="27" spans="1:26">
      <c r="A27" t="s">
        <v>11</v>
      </c>
      <c r="B27" t="s">
        <v>16</v>
      </c>
      <c r="C27">
        <v>25820.61</v>
      </c>
      <c r="D27">
        <v>31190.997289999999</v>
      </c>
      <c r="E27" s="6">
        <v>5370.3872899999997</v>
      </c>
      <c r="F27">
        <v>20.8</v>
      </c>
      <c r="G27" t="str">
        <f t="shared" si="0"/>
        <v>Under Budget</v>
      </c>
      <c r="H27" s="6">
        <f>SUM($E$2:E27)</f>
        <v>32205.359829100002</v>
      </c>
      <c r="I27" s="6">
        <f t="shared" si="1"/>
        <v>20.7988397253202</v>
      </c>
      <c r="J27" s="6" t="str">
        <f t="shared" si="2"/>
        <v>Above +10%</v>
      </c>
      <c r="K27" s="6"/>
      <c r="L27" s="6"/>
      <c r="M27" s="3" t="s">
        <v>113</v>
      </c>
      <c r="N27" s="3" t="s">
        <v>100</v>
      </c>
    </row>
    <row r="28" spans="1:26">
      <c r="A28" t="s">
        <v>10</v>
      </c>
      <c r="B28" t="s">
        <v>16</v>
      </c>
      <c r="C28">
        <v>35012.19</v>
      </c>
      <c r="D28">
        <v>39119.901879999998</v>
      </c>
      <c r="E28" s="6">
        <v>4107.7118819999996</v>
      </c>
      <c r="F28">
        <v>11.73</v>
      </c>
      <c r="G28" t="str">
        <f t="shared" si="0"/>
        <v>Under Budget</v>
      </c>
      <c r="H28" s="6">
        <f>SUM($E$2:E28)</f>
        <v>36313.071711099998</v>
      </c>
      <c r="I28" s="6">
        <f t="shared" si="1"/>
        <v>11.732233493534679</v>
      </c>
      <c r="J28" s="6" t="str">
        <f t="shared" si="2"/>
        <v>Above +10%</v>
      </c>
      <c r="K28" s="6"/>
      <c r="L28" s="6"/>
      <c r="M28" s="3" t="s">
        <v>95</v>
      </c>
      <c r="N28" t="s">
        <v>14</v>
      </c>
      <c r="O28" t="s">
        <v>12</v>
      </c>
      <c r="P28" t="s">
        <v>19</v>
      </c>
      <c r="Q28" t="s">
        <v>9</v>
      </c>
      <c r="R28" t="s">
        <v>22</v>
      </c>
      <c r="S28" t="s">
        <v>7</v>
      </c>
      <c r="T28" t="s">
        <v>20</v>
      </c>
      <c r="U28" t="s">
        <v>18</v>
      </c>
      <c r="V28" t="s">
        <v>21</v>
      </c>
      <c r="W28" t="s">
        <v>17</v>
      </c>
      <c r="X28" t="s">
        <v>13</v>
      </c>
      <c r="Y28" t="s">
        <v>16</v>
      </c>
      <c r="Z28" t="s">
        <v>96</v>
      </c>
    </row>
    <row r="29" spans="1:26">
      <c r="A29" t="s">
        <v>10</v>
      </c>
      <c r="B29" t="s">
        <v>16</v>
      </c>
      <c r="C29">
        <v>39414.01</v>
      </c>
      <c r="D29">
        <v>42646.657010000003</v>
      </c>
      <c r="E29" s="6">
        <v>3232.647007</v>
      </c>
      <c r="F29">
        <v>8.1999999999999993</v>
      </c>
      <c r="G29" t="str">
        <f t="shared" si="0"/>
        <v>Under Budget</v>
      </c>
      <c r="H29" s="6">
        <f>SUM($E$2:E29)</f>
        <v>39545.718718099997</v>
      </c>
      <c r="I29" s="6">
        <f t="shared" si="1"/>
        <v>8.2017714183357633</v>
      </c>
      <c r="J29" s="6" t="str">
        <f t="shared" si="2"/>
        <v>+5% to +10%</v>
      </c>
      <c r="K29" s="6"/>
      <c r="L29" s="6"/>
      <c r="M29" s="4" t="s">
        <v>15</v>
      </c>
      <c r="N29">
        <v>65.25</v>
      </c>
      <c r="O29">
        <v>-21.83</v>
      </c>
      <c r="Q29">
        <v>-7.1749999999999998</v>
      </c>
      <c r="R29">
        <v>-3.0750000000000011</v>
      </c>
      <c r="S29">
        <v>15.03</v>
      </c>
      <c r="T29">
        <v>19.739999999999998</v>
      </c>
      <c r="U29">
        <v>-8.0500000000000007</v>
      </c>
      <c r="W29">
        <v>-14.52</v>
      </c>
      <c r="X29">
        <v>-16.41</v>
      </c>
      <c r="Y29">
        <v>-1.38</v>
      </c>
      <c r="Z29">
        <v>-0.3742857142857145</v>
      </c>
    </row>
    <row r="30" spans="1:26">
      <c r="A30" t="s">
        <v>11</v>
      </c>
      <c r="B30" t="s">
        <v>16</v>
      </c>
      <c r="C30">
        <v>29171.16</v>
      </c>
      <c r="D30">
        <v>30864.57401</v>
      </c>
      <c r="E30" s="6">
        <v>1693.4140090000001</v>
      </c>
      <c r="F30">
        <v>5.81</v>
      </c>
      <c r="G30" t="str">
        <f t="shared" si="0"/>
        <v>Under Budget</v>
      </c>
      <c r="H30" s="6">
        <f>SUM($E$2:E30)</f>
        <v>41239.132727099997</v>
      </c>
      <c r="I30" s="6">
        <f t="shared" si="1"/>
        <v>5.8050965714081988</v>
      </c>
      <c r="J30" s="6" t="str">
        <f t="shared" si="2"/>
        <v>+5% to +10%</v>
      </c>
      <c r="K30" s="6"/>
      <c r="L30" s="6"/>
      <c r="M30" s="4" t="s">
        <v>8</v>
      </c>
      <c r="N30">
        <v>4.2066666666666661</v>
      </c>
      <c r="O30">
        <v>-3.22</v>
      </c>
      <c r="P30">
        <v>-4.68</v>
      </c>
      <c r="Q30">
        <v>-2.089999999999999</v>
      </c>
      <c r="S30">
        <v>-7.33</v>
      </c>
      <c r="T30">
        <v>27.21</v>
      </c>
      <c r="V30">
        <v>-34.594999999999999</v>
      </c>
      <c r="X30">
        <v>-13.666666666666666</v>
      </c>
      <c r="Y30">
        <v>21.12</v>
      </c>
      <c r="Z30">
        <v>-4.306111111111111</v>
      </c>
    </row>
    <row r="31" spans="1:26">
      <c r="A31" t="s">
        <v>6</v>
      </c>
      <c r="B31" t="s">
        <v>16</v>
      </c>
      <c r="C31">
        <v>31699.15</v>
      </c>
      <c r="D31">
        <v>32344.049780000001</v>
      </c>
      <c r="E31" s="6">
        <v>644.89977650000003</v>
      </c>
      <c r="F31">
        <v>2.0299999999999998</v>
      </c>
      <c r="G31" t="str">
        <f t="shared" si="0"/>
        <v>Within Budget</v>
      </c>
      <c r="H31" s="6">
        <f>SUM($E$2:E31)</f>
        <v>41884.032503599999</v>
      </c>
      <c r="I31" s="6">
        <f t="shared" si="1"/>
        <v>2.0344387041923837</v>
      </c>
      <c r="J31" s="6" t="str">
        <f t="shared" si="2"/>
        <v>-5% to +5%</v>
      </c>
      <c r="K31" s="6"/>
      <c r="L31" s="6"/>
      <c r="M31" s="4" t="s">
        <v>10</v>
      </c>
      <c r="N31">
        <v>-10.119999999999999</v>
      </c>
      <c r="O31">
        <v>-15.366666666666665</v>
      </c>
      <c r="P31">
        <v>-76.14</v>
      </c>
      <c r="Q31">
        <v>25.32</v>
      </c>
      <c r="R31">
        <v>3.0750000000000002</v>
      </c>
      <c r="S31">
        <v>-0.1800000000000003</v>
      </c>
      <c r="T31">
        <v>16.52</v>
      </c>
      <c r="V31">
        <v>-21.51</v>
      </c>
      <c r="W31">
        <v>19.170000000000002</v>
      </c>
      <c r="X31">
        <v>-4.82</v>
      </c>
      <c r="Y31">
        <v>9.9649999999999999</v>
      </c>
      <c r="Z31">
        <v>0.35000000000000003</v>
      </c>
    </row>
    <row r="32" spans="1:26">
      <c r="A32" t="s">
        <v>15</v>
      </c>
      <c r="B32" t="s">
        <v>16</v>
      </c>
      <c r="C32">
        <v>49374.06</v>
      </c>
      <c r="D32">
        <v>48690.316140000003</v>
      </c>
      <c r="E32" s="6">
        <v>-683.74385959999995</v>
      </c>
      <c r="F32">
        <v>-1.38</v>
      </c>
      <c r="G32" t="str">
        <f t="shared" si="0"/>
        <v>Within Budget</v>
      </c>
      <c r="H32" s="6">
        <f>SUM($E$2:E32)</f>
        <v>41200.288644</v>
      </c>
      <c r="I32" s="6">
        <f t="shared" si="1"/>
        <v>-1.3848240545744062</v>
      </c>
      <c r="J32" s="6" t="str">
        <f t="shared" si="2"/>
        <v>-5% to +5%</v>
      </c>
      <c r="K32" s="6"/>
      <c r="L32" s="6"/>
      <c r="M32" s="4" t="s">
        <v>11</v>
      </c>
      <c r="N32">
        <v>-37.07</v>
      </c>
      <c r="O32">
        <v>17.323333333333334</v>
      </c>
      <c r="P32">
        <v>-6.5666666666666664</v>
      </c>
      <c r="Q32">
        <v>4.9700000000000006</v>
      </c>
      <c r="R32">
        <v>16.91</v>
      </c>
      <c r="S32">
        <v>42.04</v>
      </c>
      <c r="T32">
        <v>-2.75</v>
      </c>
      <c r="U32">
        <v>-6.6449999999999996</v>
      </c>
      <c r="V32">
        <v>-25.18</v>
      </c>
      <c r="W32">
        <v>-12.24</v>
      </c>
      <c r="X32">
        <v>3.4175000000000004</v>
      </c>
      <c r="Y32">
        <v>-11.5975</v>
      </c>
      <c r="Z32">
        <v>-2.3664000000000001</v>
      </c>
    </row>
    <row r="33" spans="1:26">
      <c r="A33" t="s">
        <v>6</v>
      </c>
      <c r="B33" t="s">
        <v>16</v>
      </c>
      <c r="C33">
        <v>26636.29</v>
      </c>
      <c r="D33">
        <v>21327.515869999999</v>
      </c>
      <c r="E33" s="6">
        <v>-5308.7741329999999</v>
      </c>
      <c r="F33">
        <v>-19.93</v>
      </c>
      <c r="G33" t="str">
        <f t="shared" si="0"/>
        <v>Significantly Over Budget</v>
      </c>
      <c r="H33" s="6">
        <f>SUM($E$2:E33)</f>
        <v>35891.514511000001</v>
      </c>
      <c r="I33" s="6">
        <f t="shared" si="1"/>
        <v>-19.930606450823294</v>
      </c>
      <c r="J33" s="6" t="str">
        <f t="shared" si="2"/>
        <v>Below -10%</v>
      </c>
      <c r="K33" s="6"/>
      <c r="L33" s="6"/>
      <c r="M33" s="4" t="s">
        <v>6</v>
      </c>
      <c r="N33">
        <v>-11.704999999999998</v>
      </c>
      <c r="O33">
        <v>-10.8</v>
      </c>
      <c r="P33">
        <v>-9.9066666666666663</v>
      </c>
      <c r="S33">
        <v>1.855</v>
      </c>
      <c r="T33">
        <v>-38.185000000000002</v>
      </c>
      <c r="U33">
        <v>16.895</v>
      </c>
      <c r="V33">
        <v>-16.739999999999998</v>
      </c>
      <c r="W33">
        <v>4.3600000000000003</v>
      </c>
      <c r="X33">
        <v>7.1849999999999996</v>
      </c>
      <c r="Y33">
        <v>10.625</v>
      </c>
      <c r="Z33">
        <v>-2.9154999999999989</v>
      </c>
    </row>
    <row r="34" spans="1:26">
      <c r="A34" t="s">
        <v>6</v>
      </c>
      <c r="B34" t="s">
        <v>16</v>
      </c>
      <c r="C34">
        <v>39966.47</v>
      </c>
      <c r="D34">
        <v>31914.33785</v>
      </c>
      <c r="E34" s="6">
        <v>-8052.132149</v>
      </c>
      <c r="F34">
        <v>-20.149999999999999</v>
      </c>
      <c r="G34" t="str">
        <f t="shared" ref="G34:G65" si="3">IF(F34&gt;5,"Under Budget",IF(F34&gt;=-5,"Within Budget",IF(F34&gt;=-10,"Slightly Over Budget","Significantly Over Budget")))</f>
        <v>Significantly Over Budget</v>
      </c>
      <c r="H34" s="6">
        <f>SUM($E$2:E34)</f>
        <v>27839.382362</v>
      </c>
      <c r="I34" s="6">
        <f t="shared" ref="I34:I65" si="4">E34/C34*100</f>
        <v>-20.147218778641196</v>
      </c>
      <c r="J34" s="6" t="str">
        <f t="shared" ref="J34:J65" si="5">IF(F34&gt;=10,"Above +10%",
   IF(F34&gt;=5,"+5% to +10%",
   IF(F34&gt;=-5,"-5% to +5%",
   IF(F34&gt;=-10,"-10% to -5%","Below -10%"))))</f>
        <v>Below -10%</v>
      </c>
      <c r="K34" s="6"/>
      <c r="L34" s="6"/>
      <c r="M34" s="4" t="s">
        <v>96</v>
      </c>
      <c r="N34">
        <v>-3.9920000000000018</v>
      </c>
      <c r="O34">
        <v>-3.3311111111111105</v>
      </c>
      <c r="P34">
        <v>-14.991111111111113</v>
      </c>
      <c r="Q34">
        <v>7.3758333333333352</v>
      </c>
      <c r="R34">
        <v>3.3820000000000001</v>
      </c>
      <c r="S34">
        <v>6.6137499999999996</v>
      </c>
      <c r="T34">
        <v>-2.6083333333333329</v>
      </c>
      <c r="U34">
        <v>0.73333333333333306</v>
      </c>
      <c r="V34">
        <v>-26.524000000000001</v>
      </c>
      <c r="W34">
        <v>0.23666666666666711</v>
      </c>
      <c r="X34">
        <v>-3.2508333333333326</v>
      </c>
      <c r="Y34">
        <v>2.9816666666666674</v>
      </c>
      <c r="Z34">
        <v>-1.9217</v>
      </c>
    </row>
    <row r="35" spans="1:26">
      <c r="A35" t="s">
        <v>11</v>
      </c>
      <c r="B35" t="s">
        <v>16</v>
      </c>
      <c r="C35">
        <v>29294.26</v>
      </c>
      <c r="D35">
        <v>21199.490160000001</v>
      </c>
      <c r="E35" s="6">
        <v>-8094.7698410000003</v>
      </c>
      <c r="F35">
        <v>-27.63</v>
      </c>
      <c r="G35" t="str">
        <f t="shared" si="3"/>
        <v>Significantly Over Budget</v>
      </c>
      <c r="H35" s="6">
        <f>SUM($E$2:E35)</f>
        <v>19744.612520999999</v>
      </c>
      <c r="I35" s="6">
        <f t="shared" si="4"/>
        <v>-27.632614174244374</v>
      </c>
      <c r="J35" s="6" t="str">
        <f t="shared" si="5"/>
        <v>Below -10%</v>
      </c>
      <c r="K35" s="6"/>
      <c r="L35" s="6"/>
    </row>
    <row r="36" spans="1:26">
      <c r="A36" t="s">
        <v>11</v>
      </c>
      <c r="B36" t="s">
        <v>16</v>
      </c>
      <c r="C36">
        <v>10834.45</v>
      </c>
      <c r="D36">
        <v>5918.9415980000003</v>
      </c>
      <c r="E36" s="6">
        <v>-4915.5084020000004</v>
      </c>
      <c r="F36">
        <v>-45.37</v>
      </c>
      <c r="G36" t="str">
        <f t="shared" si="3"/>
        <v>Significantly Over Budget</v>
      </c>
      <c r="H36" s="6">
        <f>SUM($E$2:E36)</f>
        <v>14829.104119</v>
      </c>
      <c r="I36" s="6">
        <f t="shared" si="4"/>
        <v>-45.369247188366742</v>
      </c>
      <c r="J36" s="6" t="str">
        <f t="shared" si="5"/>
        <v>Below -10%</v>
      </c>
      <c r="K36" s="6"/>
      <c r="L36" s="6"/>
    </row>
    <row r="37" spans="1:26">
      <c r="A37" t="s">
        <v>11</v>
      </c>
      <c r="B37" t="s">
        <v>12</v>
      </c>
      <c r="C37">
        <v>22883.79</v>
      </c>
      <c r="D37">
        <v>30557.983390000001</v>
      </c>
      <c r="E37" s="6">
        <v>7674.1933929999996</v>
      </c>
      <c r="F37">
        <v>33.54</v>
      </c>
      <c r="G37" t="str">
        <f t="shared" si="3"/>
        <v>Under Budget</v>
      </c>
      <c r="H37" s="6">
        <f>SUM($E$2:E37)</f>
        <v>22503.297511999997</v>
      </c>
      <c r="I37" s="6">
        <f t="shared" si="4"/>
        <v>33.535499989293726</v>
      </c>
      <c r="J37" s="6" t="str">
        <f t="shared" si="5"/>
        <v>Above +10%</v>
      </c>
      <c r="K37" s="6"/>
      <c r="L37" s="6"/>
    </row>
    <row r="38" spans="1:26">
      <c r="A38" t="s">
        <v>11</v>
      </c>
      <c r="B38" t="s">
        <v>12</v>
      </c>
      <c r="C38">
        <v>36060.78</v>
      </c>
      <c r="D38">
        <v>45903.446329999999</v>
      </c>
      <c r="E38" s="6">
        <v>9842.6663270000008</v>
      </c>
      <c r="F38">
        <v>27.29</v>
      </c>
      <c r="G38" t="str">
        <f t="shared" si="3"/>
        <v>Under Budget</v>
      </c>
      <c r="H38" s="6">
        <f>SUM($E$2:E38)</f>
        <v>32345.963838999996</v>
      </c>
      <c r="I38" s="6">
        <f t="shared" si="4"/>
        <v>27.294657317451261</v>
      </c>
      <c r="J38" s="6" t="str">
        <f t="shared" si="5"/>
        <v>Above +10%</v>
      </c>
      <c r="K38" s="6"/>
      <c r="L38" s="6"/>
      <c r="P38" t="s">
        <v>101</v>
      </c>
    </row>
    <row r="39" spans="1:26">
      <c r="A39" t="s">
        <v>10</v>
      </c>
      <c r="B39" t="s">
        <v>12</v>
      </c>
      <c r="C39">
        <v>16466.900000000001</v>
      </c>
      <c r="D39">
        <v>18069.14459</v>
      </c>
      <c r="E39" s="6">
        <v>1602.244594</v>
      </c>
      <c r="F39">
        <v>9.73</v>
      </c>
      <c r="G39" t="str">
        <f t="shared" si="3"/>
        <v>Under Budget</v>
      </c>
      <c r="H39" s="6">
        <f>SUM($E$2:E39)</f>
        <v>33948.208433</v>
      </c>
      <c r="I39" s="6">
        <f t="shared" si="4"/>
        <v>9.7300924521312453</v>
      </c>
      <c r="J39" s="6" t="str">
        <f t="shared" si="5"/>
        <v>+5% to +10%</v>
      </c>
      <c r="K39" s="6"/>
      <c r="L39" s="6"/>
    </row>
    <row r="40" spans="1:26">
      <c r="A40" t="s">
        <v>8</v>
      </c>
      <c r="B40" t="s">
        <v>12</v>
      </c>
      <c r="C40">
        <v>38971.410000000003</v>
      </c>
      <c r="D40">
        <v>37714.717779999999</v>
      </c>
      <c r="E40" s="6">
        <v>-1256.6922239999999</v>
      </c>
      <c r="F40">
        <v>-3.22</v>
      </c>
      <c r="G40" t="str">
        <f t="shared" si="3"/>
        <v>Within Budget</v>
      </c>
      <c r="H40" s="6">
        <f>SUM($E$2:E40)</f>
        <v>32691.516209000001</v>
      </c>
      <c r="I40" s="6">
        <f t="shared" si="4"/>
        <v>-3.2246516715715443</v>
      </c>
      <c r="J40" s="6" t="str">
        <f t="shared" si="5"/>
        <v>-5% to +5%</v>
      </c>
      <c r="K40" s="6"/>
      <c r="L40" s="6"/>
    </row>
    <row r="41" spans="1:26">
      <c r="A41" t="s">
        <v>11</v>
      </c>
      <c r="B41" t="s">
        <v>12</v>
      </c>
      <c r="C41">
        <v>23160.7</v>
      </c>
      <c r="D41">
        <v>21108.279770000001</v>
      </c>
      <c r="E41" s="6">
        <v>-2052.4202310000001</v>
      </c>
      <c r="F41">
        <v>-8.86</v>
      </c>
      <c r="G41" t="str">
        <f t="shared" si="3"/>
        <v>Slightly Over Budget</v>
      </c>
      <c r="H41" s="6">
        <f>SUM($E$2:E41)</f>
        <v>30639.095978000001</v>
      </c>
      <c r="I41" s="6">
        <f t="shared" si="4"/>
        <v>-8.8616502566848148</v>
      </c>
      <c r="J41" s="6" t="str">
        <f t="shared" si="5"/>
        <v>-10% to -5%</v>
      </c>
      <c r="K41" s="6"/>
      <c r="L41" s="6"/>
    </row>
    <row r="42" spans="1:26">
      <c r="A42" t="s">
        <v>6</v>
      </c>
      <c r="B42" t="s">
        <v>12</v>
      </c>
      <c r="C42">
        <v>45848.85</v>
      </c>
      <c r="D42">
        <v>40899.405639999997</v>
      </c>
      <c r="E42" s="6">
        <v>-4949.4443579999997</v>
      </c>
      <c r="F42">
        <v>-10.8</v>
      </c>
      <c r="G42" t="str">
        <f t="shared" si="3"/>
        <v>Significantly Over Budget</v>
      </c>
      <c r="H42" s="6">
        <f>SUM($E$2:E42)</f>
        <v>25689.651620000001</v>
      </c>
      <c r="I42" s="6">
        <f t="shared" si="4"/>
        <v>-10.795133046957558</v>
      </c>
      <c r="J42" s="6" t="str">
        <f t="shared" si="5"/>
        <v>Below -10%</v>
      </c>
      <c r="K42" s="6"/>
      <c r="L42" s="6"/>
    </row>
    <row r="43" spans="1:26">
      <c r="A43" t="s">
        <v>10</v>
      </c>
      <c r="B43" t="s">
        <v>12</v>
      </c>
      <c r="C43">
        <v>46312.75</v>
      </c>
      <c r="D43">
        <v>37695.405720000002</v>
      </c>
      <c r="E43" s="6">
        <v>-8617.3442759999998</v>
      </c>
      <c r="F43">
        <v>-18.61</v>
      </c>
      <c r="G43" t="str">
        <f t="shared" si="3"/>
        <v>Significantly Over Budget</v>
      </c>
      <c r="H43" s="6">
        <f>SUM($E$2:E43)</f>
        <v>17072.307344000001</v>
      </c>
      <c r="I43" s="6">
        <f t="shared" si="4"/>
        <v>-18.6068507613994</v>
      </c>
      <c r="J43" s="6" t="str">
        <f t="shared" si="5"/>
        <v>Below -10%</v>
      </c>
      <c r="K43" s="6"/>
      <c r="L43" s="6"/>
    </row>
    <row r="44" spans="1:26">
      <c r="A44" t="s">
        <v>15</v>
      </c>
      <c r="B44" t="s">
        <v>12</v>
      </c>
      <c r="C44">
        <v>24312.05</v>
      </c>
      <c r="D44">
        <v>19005.530770000001</v>
      </c>
      <c r="E44" s="6">
        <v>-5306.5192349999998</v>
      </c>
      <c r="F44">
        <v>-21.83</v>
      </c>
      <c r="G44" t="str">
        <f t="shared" si="3"/>
        <v>Significantly Over Budget</v>
      </c>
      <c r="H44" s="6">
        <f>SUM($E$2:E44)</f>
        <v>11765.788109000001</v>
      </c>
      <c r="I44" s="6">
        <f t="shared" si="4"/>
        <v>-21.826704185784415</v>
      </c>
      <c r="J44" s="6" t="str">
        <f t="shared" si="5"/>
        <v>Below -10%</v>
      </c>
      <c r="K44" s="6"/>
      <c r="L44" s="6"/>
    </row>
    <row r="45" spans="1:26">
      <c r="A45" t="s">
        <v>10</v>
      </c>
      <c r="B45" t="s">
        <v>12</v>
      </c>
      <c r="C45">
        <v>18143.13</v>
      </c>
      <c r="D45">
        <v>11390.767889999999</v>
      </c>
      <c r="E45" s="6">
        <v>-6752.3621069999999</v>
      </c>
      <c r="F45">
        <v>-37.22</v>
      </c>
      <c r="G45" t="str">
        <f t="shared" si="3"/>
        <v>Significantly Over Budget</v>
      </c>
      <c r="H45" s="6">
        <f>SUM($E$2:E45)</f>
        <v>5013.4260020000011</v>
      </c>
      <c r="I45" s="6">
        <f t="shared" si="4"/>
        <v>-37.217184173844316</v>
      </c>
      <c r="J45" s="6" t="str">
        <f t="shared" si="5"/>
        <v>Below -10%</v>
      </c>
      <c r="K45" s="6"/>
      <c r="L45" s="6"/>
    </row>
    <row r="46" spans="1:26">
      <c r="A46" t="s">
        <v>15</v>
      </c>
      <c r="B46" t="s">
        <v>14</v>
      </c>
      <c r="C46">
        <v>11175.78</v>
      </c>
      <c r="D46">
        <v>18467.956719999998</v>
      </c>
      <c r="E46" s="6">
        <v>7292.176719</v>
      </c>
      <c r="F46">
        <v>65.25</v>
      </c>
      <c r="G46" t="str">
        <f t="shared" si="3"/>
        <v>Under Budget</v>
      </c>
      <c r="H46" s="6">
        <f>SUM($E$2:E46)</f>
        <v>12305.602721000001</v>
      </c>
      <c r="I46" s="6">
        <f t="shared" si="4"/>
        <v>65.249823448564655</v>
      </c>
      <c r="J46" s="6" t="str">
        <f t="shared" si="5"/>
        <v>Above +10%</v>
      </c>
      <c r="K46" s="6"/>
      <c r="L46" s="6"/>
    </row>
    <row r="47" spans="1:26">
      <c r="A47" t="s">
        <v>8</v>
      </c>
      <c r="B47" t="s">
        <v>14</v>
      </c>
      <c r="C47">
        <v>47894.02</v>
      </c>
      <c r="D47">
        <v>53529.8266</v>
      </c>
      <c r="E47" s="6">
        <v>5635.8065969999998</v>
      </c>
      <c r="F47">
        <v>11.77</v>
      </c>
      <c r="G47" t="str">
        <f t="shared" si="3"/>
        <v>Under Budget</v>
      </c>
      <c r="H47" s="6">
        <f>SUM($E$2:E47)</f>
        <v>17941.409318000002</v>
      </c>
      <c r="I47" s="6">
        <f t="shared" si="4"/>
        <v>11.767244839752438</v>
      </c>
      <c r="J47" s="6" t="str">
        <f t="shared" si="5"/>
        <v>Above +10%</v>
      </c>
      <c r="K47" s="6"/>
      <c r="L47" s="6"/>
    </row>
    <row r="48" spans="1:26">
      <c r="A48" t="s">
        <v>8</v>
      </c>
      <c r="B48" t="s">
        <v>14</v>
      </c>
      <c r="C48">
        <v>39771.160000000003</v>
      </c>
      <c r="D48">
        <v>43490.514719999999</v>
      </c>
      <c r="E48" s="6">
        <v>3719.3547199999998</v>
      </c>
      <c r="F48">
        <v>9.35</v>
      </c>
      <c r="G48" t="str">
        <f t="shared" si="3"/>
        <v>Under Budget</v>
      </c>
      <c r="H48" s="6">
        <f>SUM($E$2:E48)</f>
        <v>21660.764038000001</v>
      </c>
      <c r="I48" s="6">
        <f t="shared" si="4"/>
        <v>9.3518889567214014</v>
      </c>
      <c r="J48" s="6" t="str">
        <f t="shared" si="5"/>
        <v>+5% to +10%</v>
      </c>
      <c r="K48" s="6"/>
      <c r="L48" s="6"/>
    </row>
    <row r="49" spans="1:12">
      <c r="A49" t="s">
        <v>10</v>
      </c>
      <c r="B49" t="s">
        <v>14</v>
      </c>
      <c r="C49">
        <v>48987.99</v>
      </c>
      <c r="D49">
        <v>51025.097670000003</v>
      </c>
      <c r="E49" s="6">
        <v>2037.107673</v>
      </c>
      <c r="F49">
        <v>4.16</v>
      </c>
      <c r="G49" t="str">
        <f t="shared" si="3"/>
        <v>Within Budget</v>
      </c>
      <c r="H49" s="6">
        <f>SUM($E$2:E49)</f>
        <v>23697.871711</v>
      </c>
      <c r="I49" s="6">
        <f t="shared" si="4"/>
        <v>4.1583818258311886</v>
      </c>
      <c r="J49" s="6" t="str">
        <f t="shared" si="5"/>
        <v>-5% to +5%</v>
      </c>
      <c r="K49" s="6"/>
      <c r="L49" s="6"/>
    </row>
    <row r="50" spans="1:12">
      <c r="A50" t="s">
        <v>6</v>
      </c>
      <c r="B50" t="s">
        <v>14</v>
      </c>
      <c r="C50">
        <v>41032.19</v>
      </c>
      <c r="D50">
        <v>39013.108919999999</v>
      </c>
      <c r="E50" s="6">
        <v>-2019.0810770000001</v>
      </c>
      <c r="F50">
        <v>-4.92</v>
      </c>
      <c r="G50" t="str">
        <f t="shared" si="3"/>
        <v>Within Budget</v>
      </c>
      <c r="H50" s="6">
        <f>SUM($E$2:E50)</f>
        <v>21678.790634000001</v>
      </c>
      <c r="I50" s="6">
        <f t="shared" si="4"/>
        <v>-4.9207246237649018</v>
      </c>
      <c r="J50" s="6" t="str">
        <f t="shared" si="5"/>
        <v>-5% to +5%</v>
      </c>
      <c r="K50" s="6"/>
      <c r="L50" s="6"/>
    </row>
    <row r="51" spans="1:12">
      <c r="A51" t="s">
        <v>8</v>
      </c>
      <c r="B51" t="s">
        <v>14</v>
      </c>
      <c r="C51">
        <v>27329.87</v>
      </c>
      <c r="D51">
        <v>25006.813040000001</v>
      </c>
      <c r="E51" s="6">
        <v>-2323.056963</v>
      </c>
      <c r="F51">
        <v>-8.5</v>
      </c>
      <c r="G51" t="str">
        <f t="shared" si="3"/>
        <v>Slightly Over Budget</v>
      </c>
      <c r="H51" s="6">
        <f>SUM($E$2:E51)</f>
        <v>19355.733671000002</v>
      </c>
      <c r="I51" s="6">
        <f t="shared" si="4"/>
        <v>-8.500065909570738</v>
      </c>
      <c r="J51" s="6" t="str">
        <f t="shared" si="5"/>
        <v>-10% to -5%</v>
      </c>
      <c r="K51" s="6"/>
      <c r="L51" s="6"/>
    </row>
    <row r="52" spans="1:12">
      <c r="A52" t="s">
        <v>6</v>
      </c>
      <c r="B52" t="s">
        <v>14</v>
      </c>
      <c r="C52">
        <v>28583.94</v>
      </c>
      <c r="D52">
        <v>23299.781879999999</v>
      </c>
      <c r="E52" s="6">
        <v>-5284.1581210000004</v>
      </c>
      <c r="F52">
        <v>-18.489999999999998</v>
      </c>
      <c r="G52" t="str">
        <f t="shared" si="3"/>
        <v>Significantly Over Budget</v>
      </c>
      <c r="H52" s="6">
        <f>SUM($E$2:E52)</f>
        <v>14071.575550000001</v>
      </c>
      <c r="I52" s="6">
        <f t="shared" si="4"/>
        <v>-18.48645820345271</v>
      </c>
      <c r="J52" s="6" t="str">
        <f t="shared" si="5"/>
        <v>Below -10%</v>
      </c>
      <c r="K52" s="6"/>
      <c r="L52" s="6"/>
    </row>
    <row r="53" spans="1:12">
      <c r="A53" t="s">
        <v>11</v>
      </c>
      <c r="B53" t="s">
        <v>14</v>
      </c>
      <c r="C53">
        <v>18034.36</v>
      </c>
      <c r="D53">
        <v>14652.14726</v>
      </c>
      <c r="E53" s="6">
        <v>-3382.2127399999999</v>
      </c>
      <c r="F53">
        <v>-18.75</v>
      </c>
      <c r="G53" t="str">
        <f t="shared" si="3"/>
        <v>Significantly Over Budget</v>
      </c>
      <c r="H53" s="6">
        <f>SUM($E$2:E53)</f>
        <v>10689.362810000002</v>
      </c>
      <c r="I53" s="6">
        <f t="shared" si="4"/>
        <v>-18.754270958326217</v>
      </c>
      <c r="J53" s="6" t="str">
        <f t="shared" si="5"/>
        <v>Below -10%</v>
      </c>
      <c r="K53" s="6"/>
      <c r="L53" s="6"/>
    </row>
    <row r="54" spans="1:12">
      <c r="A54" t="s">
        <v>10</v>
      </c>
      <c r="B54" t="s">
        <v>14</v>
      </c>
      <c r="C54">
        <v>33731.15</v>
      </c>
      <c r="D54">
        <v>25502.26168</v>
      </c>
      <c r="E54" s="6">
        <v>-8228.8883160000005</v>
      </c>
      <c r="F54">
        <v>-24.4</v>
      </c>
      <c r="G54" t="str">
        <f t="shared" si="3"/>
        <v>Significantly Over Budget</v>
      </c>
      <c r="H54" s="6">
        <f>SUM($E$2:E54)</f>
        <v>2460.4744940000019</v>
      </c>
      <c r="I54" s="6">
        <f t="shared" si="4"/>
        <v>-24.395516654487025</v>
      </c>
      <c r="J54" s="6" t="str">
        <f t="shared" si="5"/>
        <v>Below -10%</v>
      </c>
      <c r="K54" s="6"/>
      <c r="L54" s="6"/>
    </row>
    <row r="55" spans="1:12">
      <c r="A55" t="s">
        <v>11</v>
      </c>
      <c r="B55" t="s">
        <v>14</v>
      </c>
      <c r="C55">
        <v>13261.06</v>
      </c>
      <c r="D55">
        <v>5915.3530760000003</v>
      </c>
      <c r="E55" s="6">
        <v>-7345.7069240000001</v>
      </c>
      <c r="F55">
        <v>-55.39</v>
      </c>
      <c r="G55" t="str">
        <f t="shared" si="3"/>
        <v>Significantly Over Budget</v>
      </c>
      <c r="H55" s="6">
        <f>SUM($E$2:E55)</f>
        <v>-4885.2324299999982</v>
      </c>
      <c r="I55" s="6">
        <f t="shared" si="4"/>
        <v>-55.393060011793928</v>
      </c>
      <c r="J55" s="6" t="str">
        <f t="shared" si="5"/>
        <v>Below -10%</v>
      </c>
      <c r="K55" s="6"/>
      <c r="L55" s="6"/>
    </row>
    <row r="56" spans="1:12">
      <c r="A56" t="s">
        <v>8</v>
      </c>
      <c r="B56" t="s">
        <v>20</v>
      </c>
      <c r="C56">
        <v>16967.73</v>
      </c>
      <c r="D56">
        <v>21584.319500000001</v>
      </c>
      <c r="E56" s="6">
        <v>4616.5894969999999</v>
      </c>
      <c r="F56">
        <v>27.21</v>
      </c>
      <c r="G56" t="str">
        <f t="shared" si="3"/>
        <v>Under Budget</v>
      </c>
      <c r="H56" s="6">
        <f>SUM($E$2:E56)</f>
        <v>-268.64293299999827</v>
      </c>
      <c r="I56" s="6">
        <f t="shared" si="4"/>
        <v>27.208056098252385</v>
      </c>
      <c r="J56" s="6" t="str">
        <f t="shared" si="5"/>
        <v>Above +10%</v>
      </c>
      <c r="K56" s="6"/>
      <c r="L56" s="6"/>
    </row>
    <row r="57" spans="1:12">
      <c r="A57" t="s">
        <v>15</v>
      </c>
      <c r="B57" t="s">
        <v>20</v>
      </c>
      <c r="C57">
        <v>33522.339999999997</v>
      </c>
      <c r="D57">
        <v>40139.883829999999</v>
      </c>
      <c r="E57" s="6">
        <v>6617.5438270000004</v>
      </c>
      <c r="F57">
        <v>19.739999999999998</v>
      </c>
      <c r="G57" t="str">
        <f t="shared" si="3"/>
        <v>Under Budget</v>
      </c>
      <c r="H57" s="6">
        <f>SUM($E$2:E57)</f>
        <v>6348.9008940000022</v>
      </c>
      <c r="I57" s="6">
        <f t="shared" si="4"/>
        <v>19.740697776467876</v>
      </c>
      <c r="J57" s="6" t="str">
        <f t="shared" si="5"/>
        <v>Above +10%</v>
      </c>
      <c r="K57" s="6"/>
      <c r="L57" s="6"/>
    </row>
    <row r="58" spans="1:12">
      <c r="A58" t="s">
        <v>10</v>
      </c>
      <c r="B58" t="s">
        <v>20</v>
      </c>
      <c r="C58">
        <v>18413.98</v>
      </c>
      <c r="D58">
        <v>21456.444909999998</v>
      </c>
      <c r="E58" s="6">
        <v>3042.464911</v>
      </c>
      <c r="F58">
        <v>16.52</v>
      </c>
      <c r="G58" t="str">
        <f t="shared" si="3"/>
        <v>Under Budget</v>
      </c>
      <c r="H58" s="6">
        <f>SUM($E$2:E58)</f>
        <v>9391.3658050000013</v>
      </c>
      <c r="I58" s="6">
        <f t="shared" si="4"/>
        <v>16.522581815555355</v>
      </c>
      <c r="J58" s="6" t="str">
        <f t="shared" si="5"/>
        <v>Above +10%</v>
      </c>
      <c r="K58" s="6"/>
      <c r="L58" s="6"/>
    </row>
    <row r="59" spans="1:12">
      <c r="A59" t="s">
        <v>11</v>
      </c>
      <c r="B59" t="s">
        <v>20</v>
      </c>
      <c r="C59">
        <v>36815.42</v>
      </c>
      <c r="D59">
        <v>35804.096700000002</v>
      </c>
      <c r="E59" s="6">
        <v>-1011.323296</v>
      </c>
      <c r="F59">
        <v>-2.75</v>
      </c>
      <c r="G59" t="str">
        <f t="shared" si="3"/>
        <v>Within Budget</v>
      </c>
      <c r="H59" s="6">
        <f>SUM($E$2:E59)</f>
        <v>8380.0425090000008</v>
      </c>
      <c r="I59" s="6">
        <f t="shared" si="4"/>
        <v>-2.7470100734963774</v>
      </c>
      <c r="J59" s="6" t="str">
        <f t="shared" si="5"/>
        <v>-5% to +5%</v>
      </c>
      <c r="K59" s="6"/>
      <c r="L59" s="6"/>
    </row>
    <row r="60" spans="1:12">
      <c r="A60" t="s">
        <v>6</v>
      </c>
      <c r="B60" t="s">
        <v>20</v>
      </c>
      <c r="C60">
        <v>13300.34</v>
      </c>
      <c r="D60">
        <v>11233.535529999999</v>
      </c>
      <c r="E60" s="6">
        <v>-2066.8044730000001</v>
      </c>
      <c r="F60">
        <v>-15.54</v>
      </c>
      <c r="G60" t="str">
        <f t="shared" si="3"/>
        <v>Significantly Over Budget</v>
      </c>
      <c r="H60" s="6">
        <f>SUM($E$2:E60)</f>
        <v>6313.2380360000006</v>
      </c>
      <c r="I60" s="6">
        <f t="shared" si="4"/>
        <v>-15.539486005620908</v>
      </c>
      <c r="J60" s="6" t="str">
        <f t="shared" si="5"/>
        <v>Below -10%</v>
      </c>
      <c r="K60" s="6"/>
      <c r="L60" s="6"/>
    </row>
    <row r="61" spans="1:12">
      <c r="A61" t="s">
        <v>6</v>
      </c>
      <c r="B61" t="s">
        <v>20</v>
      </c>
      <c r="C61">
        <v>11647.34</v>
      </c>
      <c r="D61">
        <v>4562.4713650000003</v>
      </c>
      <c r="E61" s="6">
        <v>-7084.8686349999998</v>
      </c>
      <c r="F61">
        <v>-60.83</v>
      </c>
      <c r="G61" t="str">
        <f t="shared" si="3"/>
        <v>Significantly Over Budget</v>
      </c>
      <c r="H61" s="6">
        <f>SUM($E$2:E61)</f>
        <v>-771.63059899999917</v>
      </c>
      <c r="I61" s="6">
        <f t="shared" si="4"/>
        <v>-60.828211720444322</v>
      </c>
      <c r="J61" s="6" t="str">
        <f t="shared" si="5"/>
        <v>Below -10%</v>
      </c>
      <c r="K61" s="6"/>
      <c r="L61" s="6"/>
    </row>
    <row r="62" spans="1:12">
      <c r="A62" t="s">
        <v>11</v>
      </c>
      <c r="B62" t="s">
        <v>7</v>
      </c>
      <c r="C62">
        <v>15983.23</v>
      </c>
      <c r="D62">
        <v>22703.191279999999</v>
      </c>
      <c r="E62" s="6">
        <v>6719.961276</v>
      </c>
      <c r="F62">
        <v>42.04</v>
      </c>
      <c r="G62" t="str">
        <f t="shared" si="3"/>
        <v>Under Budget</v>
      </c>
      <c r="H62" s="6">
        <f>SUM($E$2:E62)</f>
        <v>5948.3306770000008</v>
      </c>
      <c r="I62" s="6">
        <f t="shared" si="4"/>
        <v>42.043825159245038</v>
      </c>
      <c r="J62" s="6" t="str">
        <f t="shared" si="5"/>
        <v>Above +10%</v>
      </c>
      <c r="K62" s="6"/>
      <c r="L62" s="6"/>
    </row>
    <row r="63" spans="1:12">
      <c r="A63" t="s">
        <v>15</v>
      </c>
      <c r="B63" t="s">
        <v>7</v>
      </c>
      <c r="C63">
        <v>47649.5</v>
      </c>
      <c r="D63">
        <v>54809.225079999997</v>
      </c>
      <c r="E63" s="6">
        <v>7159.7250780000004</v>
      </c>
      <c r="F63">
        <v>15.03</v>
      </c>
      <c r="G63" t="str">
        <f t="shared" si="3"/>
        <v>Under Budget</v>
      </c>
      <c r="H63" s="6">
        <f>SUM($E$2:E63)</f>
        <v>13108.055755000001</v>
      </c>
      <c r="I63" s="6">
        <f t="shared" si="4"/>
        <v>15.02581365596701</v>
      </c>
      <c r="J63" s="6" t="str">
        <f t="shared" si="5"/>
        <v>Above +10%</v>
      </c>
      <c r="K63" s="6"/>
      <c r="L63" s="6"/>
    </row>
    <row r="64" spans="1:12">
      <c r="A64" t="s">
        <v>10</v>
      </c>
      <c r="B64" t="s">
        <v>7</v>
      </c>
      <c r="C64">
        <v>34629.68</v>
      </c>
      <c r="D64">
        <v>38393.837319999999</v>
      </c>
      <c r="E64" s="6">
        <v>3764.1573170000001</v>
      </c>
      <c r="F64">
        <v>10.87</v>
      </c>
      <c r="G64" t="str">
        <f t="shared" si="3"/>
        <v>Under Budget</v>
      </c>
      <c r="H64" s="6">
        <f>SUM($E$2:E64)</f>
        <v>16872.213072000002</v>
      </c>
      <c r="I64" s="6">
        <f t="shared" si="4"/>
        <v>10.869743286683562</v>
      </c>
      <c r="J64" s="6" t="str">
        <f t="shared" si="5"/>
        <v>Above +10%</v>
      </c>
      <c r="K64" s="6"/>
      <c r="L64" s="6"/>
    </row>
    <row r="65" spans="1:12">
      <c r="A65" t="s">
        <v>6</v>
      </c>
      <c r="B65" t="s">
        <v>7</v>
      </c>
      <c r="C65">
        <v>19901.599999999999</v>
      </c>
      <c r="D65">
        <v>22025.37427</v>
      </c>
      <c r="E65" s="6">
        <v>2123.7742710000002</v>
      </c>
      <c r="F65">
        <v>10.67</v>
      </c>
      <c r="G65" t="str">
        <f t="shared" si="3"/>
        <v>Under Budget</v>
      </c>
      <c r="H65" s="6">
        <f>SUM($E$2:E65)</f>
        <v>18995.987343000001</v>
      </c>
      <c r="I65" s="6">
        <f t="shared" si="4"/>
        <v>10.671374517626726</v>
      </c>
      <c r="J65" s="6" t="str">
        <f t="shared" si="5"/>
        <v>Above +10%</v>
      </c>
      <c r="K65" s="6"/>
      <c r="L65" s="6"/>
    </row>
    <row r="66" spans="1:12">
      <c r="A66" t="s">
        <v>10</v>
      </c>
      <c r="B66" t="s">
        <v>7</v>
      </c>
      <c r="C66">
        <v>38875.51</v>
      </c>
      <c r="D66">
        <v>41526.320659999998</v>
      </c>
      <c r="E66" s="6">
        <v>2650.810665</v>
      </c>
      <c r="F66">
        <v>6.82</v>
      </c>
      <c r="G66" t="str">
        <f t="shared" ref="G66:G97" si="6">IF(F66&gt;5,"Under Budget",IF(F66&gt;=-5,"Within Budget",IF(F66&gt;=-10,"Slightly Over Budget","Significantly Over Budget")))</f>
        <v>Under Budget</v>
      </c>
      <c r="H66" s="6">
        <f>SUM($E$2:E66)</f>
        <v>21646.798008000002</v>
      </c>
      <c r="I66" s="6">
        <f t="shared" ref="I66:I101" si="7">E66/C66*100</f>
        <v>6.8187161145924522</v>
      </c>
      <c r="J66" s="6" t="str">
        <f t="shared" ref="J66:J101" si="8">IF(F66&gt;=10,"Above +10%",
   IF(F66&gt;=5,"+5% to +10%",
   IF(F66&gt;=-5,"-5% to +5%",
   IF(F66&gt;=-10,"-10% to -5%","Below -10%"))))</f>
        <v>+5% to +10%</v>
      </c>
      <c r="K66" s="6"/>
      <c r="L66" s="6"/>
    </row>
    <row r="67" spans="1:12">
      <c r="A67" t="s">
        <v>6</v>
      </c>
      <c r="B67" t="s">
        <v>7</v>
      </c>
      <c r="C67">
        <v>34664.18</v>
      </c>
      <c r="D67">
        <v>32251.3518</v>
      </c>
      <c r="E67" s="6">
        <v>-2412.8282020000001</v>
      </c>
      <c r="F67">
        <v>-6.96</v>
      </c>
      <c r="G67" t="str">
        <f t="shared" si="6"/>
        <v>Slightly Over Budget</v>
      </c>
      <c r="H67" s="6">
        <f>SUM($E$2:E67)</f>
        <v>19233.969806000001</v>
      </c>
      <c r="I67" s="6">
        <f t="shared" si="7"/>
        <v>-6.9605806397266576</v>
      </c>
      <c r="J67" s="6" t="str">
        <f t="shared" si="8"/>
        <v>-10% to -5%</v>
      </c>
      <c r="K67" s="6"/>
      <c r="L67" s="6"/>
    </row>
    <row r="68" spans="1:12">
      <c r="A68" t="s">
        <v>8</v>
      </c>
      <c r="B68" t="s">
        <v>7</v>
      </c>
      <c r="C68">
        <v>25821.8</v>
      </c>
      <c r="D68">
        <v>23928.003659999998</v>
      </c>
      <c r="E68" s="6">
        <v>-1893.7963380000001</v>
      </c>
      <c r="F68">
        <v>-7.33</v>
      </c>
      <c r="G68" t="str">
        <f t="shared" si="6"/>
        <v>Slightly Over Budget</v>
      </c>
      <c r="H68" s="6">
        <f>SUM($E$2:E68)</f>
        <v>17340.173468000001</v>
      </c>
      <c r="I68" s="6">
        <f t="shared" si="7"/>
        <v>-7.3340988544563128</v>
      </c>
      <c r="J68" s="6" t="str">
        <f t="shared" si="8"/>
        <v>-10% to -5%</v>
      </c>
      <c r="K68" s="6"/>
      <c r="L68" s="6"/>
    </row>
    <row r="69" spans="1:12">
      <c r="A69" t="s">
        <v>10</v>
      </c>
      <c r="B69" t="s">
        <v>7</v>
      </c>
      <c r="C69">
        <v>41353.300000000003</v>
      </c>
      <c r="D69">
        <v>33812.71617</v>
      </c>
      <c r="E69" s="6">
        <v>-7540.5838290000002</v>
      </c>
      <c r="F69">
        <v>-18.23</v>
      </c>
      <c r="G69" t="str">
        <f t="shared" si="6"/>
        <v>Significantly Over Budget</v>
      </c>
      <c r="H69" s="6">
        <f>SUM($E$2:E69)</f>
        <v>9799.5896390000016</v>
      </c>
      <c r="I69" s="6">
        <f t="shared" si="7"/>
        <v>-18.234539514379748</v>
      </c>
      <c r="J69" s="6" t="str">
        <f t="shared" si="8"/>
        <v>Below -10%</v>
      </c>
      <c r="K69" s="6"/>
      <c r="L69" s="6"/>
    </row>
    <row r="70" spans="1:12">
      <c r="A70" t="s">
        <v>8</v>
      </c>
      <c r="B70" t="s">
        <v>19</v>
      </c>
      <c r="C70">
        <v>32836.18</v>
      </c>
      <c r="D70">
        <v>34424.477989999999</v>
      </c>
      <c r="E70" s="6">
        <v>1588.2979869999999</v>
      </c>
      <c r="F70">
        <v>4.84</v>
      </c>
      <c r="G70" t="str">
        <f t="shared" si="6"/>
        <v>Within Budget</v>
      </c>
      <c r="H70" s="6">
        <f>SUM($E$2:E70)</f>
        <v>11387.887626000002</v>
      </c>
      <c r="I70" s="6">
        <f t="shared" si="7"/>
        <v>4.8370364244561941</v>
      </c>
      <c r="J70" s="6" t="str">
        <f t="shared" si="8"/>
        <v>-5% to +5%</v>
      </c>
      <c r="K70" s="6"/>
      <c r="L70" s="6"/>
    </row>
    <row r="71" spans="1:12">
      <c r="A71" t="s">
        <v>11</v>
      </c>
      <c r="B71" t="s">
        <v>19</v>
      </c>
      <c r="C71">
        <v>47408.07</v>
      </c>
      <c r="D71">
        <v>48078.308510000003</v>
      </c>
      <c r="E71" s="6">
        <v>670.23850600000003</v>
      </c>
      <c r="F71">
        <v>1.41</v>
      </c>
      <c r="G71" t="str">
        <f t="shared" si="6"/>
        <v>Within Budget</v>
      </c>
      <c r="H71" s="6">
        <f>SUM($E$2:E71)</f>
        <v>12058.126132000001</v>
      </c>
      <c r="I71" s="6">
        <f t="shared" si="7"/>
        <v>1.4137645890246111</v>
      </c>
      <c r="J71" s="6" t="str">
        <f t="shared" si="8"/>
        <v>-5% to +5%</v>
      </c>
      <c r="K71" s="6"/>
      <c r="L71" s="6"/>
    </row>
    <row r="72" spans="1:12">
      <c r="A72" t="s">
        <v>6</v>
      </c>
      <c r="B72" t="s">
        <v>19</v>
      </c>
      <c r="C72">
        <v>28807.3</v>
      </c>
      <c r="D72">
        <v>28405.24163</v>
      </c>
      <c r="E72" s="6">
        <v>-402.05836820000002</v>
      </c>
      <c r="F72">
        <v>-1.4</v>
      </c>
      <c r="G72" t="str">
        <f t="shared" si="6"/>
        <v>Within Budget</v>
      </c>
      <c r="H72" s="6">
        <f>SUM($E$2:E72)</f>
        <v>11656.067763800002</v>
      </c>
      <c r="I72" s="6">
        <f t="shared" si="7"/>
        <v>-1.3956822340170723</v>
      </c>
      <c r="J72" s="6" t="str">
        <f t="shared" si="8"/>
        <v>-5% to +5%</v>
      </c>
      <c r="K72" s="6"/>
      <c r="L72" s="6"/>
    </row>
    <row r="73" spans="1:12">
      <c r="A73" t="s">
        <v>11</v>
      </c>
      <c r="B73" t="s">
        <v>19</v>
      </c>
      <c r="C73">
        <v>37727.760000000002</v>
      </c>
      <c r="D73">
        <v>36703.311479999997</v>
      </c>
      <c r="E73" s="6">
        <v>-1024.448523</v>
      </c>
      <c r="F73">
        <v>-2.72</v>
      </c>
      <c r="G73" t="str">
        <f t="shared" si="6"/>
        <v>Within Budget</v>
      </c>
      <c r="H73" s="6">
        <f>SUM($E$2:E73)</f>
        <v>10631.619240800002</v>
      </c>
      <c r="I73" s="6">
        <f t="shared" si="7"/>
        <v>-2.7153706528031347</v>
      </c>
      <c r="J73" s="6" t="str">
        <f t="shared" si="8"/>
        <v>-5% to +5%</v>
      </c>
      <c r="K73" s="6"/>
      <c r="L73" s="6"/>
    </row>
    <row r="74" spans="1:12">
      <c r="A74" t="s">
        <v>6</v>
      </c>
      <c r="B74" t="s">
        <v>19</v>
      </c>
      <c r="C74">
        <v>30193.8</v>
      </c>
      <c r="D74">
        <v>27679.735339999999</v>
      </c>
      <c r="E74" s="6">
        <v>-2514.0646569999999</v>
      </c>
      <c r="F74">
        <v>-8.33</v>
      </c>
      <c r="G74" t="str">
        <f t="shared" si="6"/>
        <v>Slightly Over Budget</v>
      </c>
      <c r="H74" s="6">
        <f>SUM($E$2:E74)</f>
        <v>8117.5545838000025</v>
      </c>
      <c r="I74" s="6">
        <f t="shared" si="7"/>
        <v>-8.3264268061655038</v>
      </c>
      <c r="J74" s="6" t="str">
        <f t="shared" si="8"/>
        <v>-10% to -5%</v>
      </c>
      <c r="K74" s="6"/>
      <c r="L74" s="6"/>
    </row>
    <row r="75" spans="1:12">
      <c r="A75" t="s">
        <v>8</v>
      </c>
      <c r="B75" t="s">
        <v>19</v>
      </c>
      <c r="C75">
        <v>48431.22</v>
      </c>
      <c r="D75">
        <v>41554.496899999998</v>
      </c>
      <c r="E75" s="6">
        <v>-6876.7231039999997</v>
      </c>
      <c r="F75">
        <v>-14.2</v>
      </c>
      <c r="G75" t="str">
        <f t="shared" si="6"/>
        <v>Significantly Over Budget</v>
      </c>
      <c r="H75" s="6">
        <f>SUM($E$2:E75)</f>
        <v>1240.8314798000029</v>
      </c>
      <c r="I75" s="6">
        <f t="shared" si="7"/>
        <v>-14.19894667943529</v>
      </c>
      <c r="J75" s="6" t="str">
        <f t="shared" si="8"/>
        <v>Below -10%</v>
      </c>
      <c r="K75" s="6"/>
      <c r="L75" s="6"/>
    </row>
    <row r="76" spans="1:12">
      <c r="A76" t="s">
        <v>11</v>
      </c>
      <c r="B76" t="s">
        <v>19</v>
      </c>
      <c r="C76">
        <v>29236.15</v>
      </c>
      <c r="D76">
        <v>23858.768250000001</v>
      </c>
      <c r="E76" s="6">
        <v>-5377.3817509999999</v>
      </c>
      <c r="F76">
        <v>-18.39</v>
      </c>
      <c r="G76" t="str">
        <f t="shared" si="6"/>
        <v>Significantly Over Budget</v>
      </c>
      <c r="H76" s="6">
        <f>SUM($E$2:E76)</f>
        <v>-4136.550271199997</v>
      </c>
      <c r="I76" s="6">
        <f t="shared" si="7"/>
        <v>-18.392920240866186</v>
      </c>
      <c r="J76" s="6" t="str">
        <f t="shared" si="8"/>
        <v>Below -10%</v>
      </c>
      <c r="K76" s="6"/>
      <c r="L76" s="6"/>
    </row>
    <row r="77" spans="1:12">
      <c r="A77" t="s">
        <v>6</v>
      </c>
      <c r="B77" t="s">
        <v>19</v>
      </c>
      <c r="C77">
        <v>27544.29</v>
      </c>
      <c r="D77">
        <v>22038.313539999999</v>
      </c>
      <c r="E77" s="6">
        <v>-5505.9764610000002</v>
      </c>
      <c r="F77">
        <v>-19.989999999999998</v>
      </c>
      <c r="G77" t="str">
        <f t="shared" si="6"/>
        <v>Significantly Over Budget</v>
      </c>
      <c r="H77" s="6">
        <f>SUM($E$2:E77)</f>
        <v>-9642.5267321999963</v>
      </c>
      <c r="I77" s="6">
        <f t="shared" si="7"/>
        <v>-19.989538525044573</v>
      </c>
      <c r="J77" s="6" t="str">
        <f t="shared" si="8"/>
        <v>Below -10%</v>
      </c>
      <c r="K77" s="6"/>
      <c r="L77" s="6"/>
    </row>
    <row r="78" spans="1:12">
      <c r="A78" t="s">
        <v>10</v>
      </c>
      <c r="B78" t="s">
        <v>19</v>
      </c>
      <c r="C78">
        <v>12896.65</v>
      </c>
      <c r="D78">
        <v>3077.2580830000002</v>
      </c>
      <c r="E78" s="6">
        <v>-9819.3919170000008</v>
      </c>
      <c r="F78">
        <v>-76.14</v>
      </c>
      <c r="G78" t="str">
        <f t="shared" si="6"/>
        <v>Significantly Over Budget</v>
      </c>
      <c r="H78" s="6">
        <f>SUM($E$2:E78)</f>
        <v>-19461.918649199997</v>
      </c>
      <c r="I78" s="6">
        <f t="shared" si="7"/>
        <v>-76.139089740358941</v>
      </c>
      <c r="J78" s="6" t="str">
        <f t="shared" si="8"/>
        <v>Below -10%</v>
      </c>
      <c r="K78" s="6"/>
      <c r="L78" s="6"/>
    </row>
    <row r="79" spans="1:12">
      <c r="A79" t="s">
        <v>11</v>
      </c>
      <c r="B79" t="s">
        <v>13</v>
      </c>
      <c r="C79">
        <v>26735.99</v>
      </c>
      <c r="D79">
        <v>31393.968369999999</v>
      </c>
      <c r="E79" s="6">
        <v>4657.9783669999997</v>
      </c>
      <c r="F79">
        <v>17.420000000000002</v>
      </c>
      <c r="G79" t="str">
        <f t="shared" si="6"/>
        <v>Under Budget</v>
      </c>
      <c r="H79" s="6">
        <f>SUM($E$2:E79)</f>
        <v>-14803.940282199997</v>
      </c>
      <c r="I79" s="6">
        <f t="shared" si="7"/>
        <v>17.422127877067574</v>
      </c>
      <c r="J79" s="6" t="str">
        <f t="shared" si="8"/>
        <v>Above +10%</v>
      </c>
      <c r="K79" s="6"/>
      <c r="L79" s="6"/>
    </row>
    <row r="80" spans="1:12">
      <c r="A80" t="s">
        <v>6</v>
      </c>
      <c r="B80" t="s">
        <v>13</v>
      </c>
      <c r="C80">
        <v>14111.7</v>
      </c>
      <c r="D80">
        <v>15970.067999999999</v>
      </c>
      <c r="E80" s="6">
        <v>1858.3679970000001</v>
      </c>
      <c r="F80">
        <v>13.17</v>
      </c>
      <c r="G80" t="str">
        <f t="shared" si="6"/>
        <v>Under Budget</v>
      </c>
      <c r="H80" s="6">
        <f>SUM($E$2:E80)</f>
        <v>-12945.572285199998</v>
      </c>
      <c r="I80" s="6">
        <f t="shared" si="7"/>
        <v>13.16898741469844</v>
      </c>
      <c r="J80" s="6" t="str">
        <f t="shared" si="8"/>
        <v>Above +10%</v>
      </c>
      <c r="K80" s="6"/>
      <c r="L80" s="6"/>
    </row>
    <row r="81" spans="1:12">
      <c r="A81" t="s">
        <v>10</v>
      </c>
      <c r="B81" t="s">
        <v>13</v>
      </c>
      <c r="C81">
        <v>34517.769999999997</v>
      </c>
      <c r="D81">
        <v>36628.533150000003</v>
      </c>
      <c r="E81" s="6">
        <v>2110.7631529999999</v>
      </c>
      <c r="F81">
        <v>6.12</v>
      </c>
      <c r="G81" t="str">
        <f t="shared" si="6"/>
        <v>Under Budget</v>
      </c>
      <c r="H81" s="6">
        <f>SUM($E$2:E81)</f>
        <v>-10834.809132199998</v>
      </c>
      <c r="I81" s="6">
        <f t="shared" si="7"/>
        <v>6.1150043962863183</v>
      </c>
      <c r="J81" s="6" t="str">
        <f t="shared" si="8"/>
        <v>+5% to +10%</v>
      </c>
      <c r="K81" s="6"/>
      <c r="L81" s="6"/>
    </row>
    <row r="82" spans="1:12">
      <c r="A82" t="s">
        <v>11</v>
      </c>
      <c r="B82" t="s">
        <v>13</v>
      </c>
      <c r="C82">
        <v>31369.69</v>
      </c>
      <c r="D82">
        <v>33137.942669999997</v>
      </c>
      <c r="E82" s="6">
        <v>1768.252667</v>
      </c>
      <c r="F82">
        <v>5.64</v>
      </c>
      <c r="G82" t="str">
        <f t="shared" si="6"/>
        <v>Under Budget</v>
      </c>
      <c r="H82" s="6">
        <f>SUM($E$2:E82)</f>
        <v>-9066.5564651999975</v>
      </c>
      <c r="I82" s="6">
        <f t="shared" si="7"/>
        <v>5.6368190664300473</v>
      </c>
      <c r="J82" s="6" t="str">
        <f t="shared" si="8"/>
        <v>+5% to +10%</v>
      </c>
      <c r="K82" s="6"/>
      <c r="L82" s="6"/>
    </row>
    <row r="83" spans="1:12">
      <c r="A83" t="s">
        <v>11</v>
      </c>
      <c r="B83" t="s">
        <v>13</v>
      </c>
      <c r="C83">
        <v>48062</v>
      </c>
      <c r="D83">
        <v>49819.687420000002</v>
      </c>
      <c r="E83" s="6">
        <v>1757.687422</v>
      </c>
      <c r="F83">
        <v>3.66</v>
      </c>
      <c r="G83" t="str">
        <f t="shared" si="6"/>
        <v>Within Budget</v>
      </c>
      <c r="H83" s="6">
        <f>SUM($E$2:E83)</f>
        <v>-7308.8690431999976</v>
      </c>
      <c r="I83" s="6">
        <f t="shared" si="7"/>
        <v>3.6571250093629062</v>
      </c>
      <c r="J83" s="6" t="str">
        <f t="shared" si="8"/>
        <v>-5% to +5%</v>
      </c>
      <c r="K83" s="6"/>
      <c r="L83" s="6"/>
    </row>
    <row r="84" spans="1:12">
      <c r="A84" t="s">
        <v>6</v>
      </c>
      <c r="B84" t="s">
        <v>13</v>
      </c>
      <c r="C84">
        <v>36130.519999999997</v>
      </c>
      <c r="D84">
        <v>36565.120929999997</v>
      </c>
      <c r="E84" s="6">
        <v>434.60093269999999</v>
      </c>
      <c r="F84">
        <v>1.2</v>
      </c>
      <c r="G84" t="str">
        <f t="shared" si="6"/>
        <v>Within Budget</v>
      </c>
      <c r="H84" s="6">
        <f>SUM($E$2:E84)</f>
        <v>-6874.2681104999974</v>
      </c>
      <c r="I84" s="6">
        <f t="shared" si="7"/>
        <v>1.2028637636546611</v>
      </c>
      <c r="J84" s="6" t="str">
        <f t="shared" si="8"/>
        <v>-5% to +5%</v>
      </c>
      <c r="K84" s="6"/>
      <c r="L84" s="6"/>
    </row>
    <row r="85" spans="1:12">
      <c r="A85" t="s">
        <v>8</v>
      </c>
      <c r="B85" t="s">
        <v>13</v>
      </c>
      <c r="C85">
        <v>48105.95</v>
      </c>
      <c r="D85">
        <v>46366.573490000002</v>
      </c>
      <c r="E85" s="6">
        <v>-1739.3765069999999</v>
      </c>
      <c r="F85">
        <v>-3.62</v>
      </c>
      <c r="G85" t="str">
        <f t="shared" si="6"/>
        <v>Within Budget</v>
      </c>
      <c r="H85" s="6">
        <f>SUM($E$2:E85)</f>
        <v>-8613.6446174999983</v>
      </c>
      <c r="I85" s="6">
        <f t="shared" si="7"/>
        <v>-3.6157201073879639</v>
      </c>
      <c r="J85" s="6" t="str">
        <f t="shared" si="8"/>
        <v>-5% to +5%</v>
      </c>
      <c r="K85" s="6"/>
      <c r="L85" s="6"/>
    </row>
    <row r="86" spans="1:12">
      <c r="A86" t="s">
        <v>8</v>
      </c>
      <c r="B86" t="s">
        <v>13</v>
      </c>
      <c r="C86">
        <v>33610.559999999998</v>
      </c>
      <c r="D86">
        <v>30793.580590000001</v>
      </c>
      <c r="E86" s="6">
        <v>-2816.9794069999998</v>
      </c>
      <c r="F86">
        <v>-8.3800000000000008</v>
      </c>
      <c r="G86" t="str">
        <f t="shared" si="6"/>
        <v>Slightly Over Budget</v>
      </c>
      <c r="H86" s="6">
        <f>SUM($E$2:E86)</f>
        <v>-11430.624024499997</v>
      </c>
      <c r="I86" s="6">
        <f t="shared" si="7"/>
        <v>-8.3812331808812459</v>
      </c>
      <c r="J86" s="6" t="str">
        <f t="shared" si="8"/>
        <v>-10% to -5%</v>
      </c>
      <c r="K86" s="6"/>
      <c r="L86" s="6"/>
    </row>
    <row r="87" spans="1:12">
      <c r="A87" t="s">
        <v>11</v>
      </c>
      <c r="B87" t="s">
        <v>13</v>
      </c>
      <c r="C87">
        <v>21953.439999999999</v>
      </c>
      <c r="D87">
        <v>19088.08106</v>
      </c>
      <c r="E87" s="6">
        <v>-2865.3589390000002</v>
      </c>
      <c r="F87">
        <v>-13.05</v>
      </c>
      <c r="G87" t="str">
        <f t="shared" si="6"/>
        <v>Significantly Over Budget</v>
      </c>
      <c r="H87" s="6">
        <f>SUM($E$2:E87)</f>
        <v>-14295.982963499997</v>
      </c>
      <c r="I87" s="6">
        <f t="shared" si="7"/>
        <v>-13.051981552777153</v>
      </c>
      <c r="J87" s="6" t="str">
        <f t="shared" si="8"/>
        <v>Below -10%</v>
      </c>
      <c r="K87" s="6"/>
      <c r="L87" s="6"/>
    </row>
    <row r="88" spans="1:12">
      <c r="A88" t="s">
        <v>10</v>
      </c>
      <c r="B88" t="s">
        <v>13</v>
      </c>
      <c r="C88">
        <v>23840.66</v>
      </c>
      <c r="D88">
        <v>20083.62113</v>
      </c>
      <c r="E88" s="6">
        <v>-3757.0388659999999</v>
      </c>
      <c r="F88">
        <v>-15.76</v>
      </c>
      <c r="G88" t="str">
        <f t="shared" si="6"/>
        <v>Significantly Over Budget</v>
      </c>
      <c r="H88" s="6">
        <f>SUM($E$2:E88)</f>
        <v>-18053.021829499998</v>
      </c>
      <c r="I88" s="6">
        <f t="shared" si="7"/>
        <v>-15.758954936650243</v>
      </c>
      <c r="J88" s="6" t="str">
        <f t="shared" si="8"/>
        <v>Below -10%</v>
      </c>
      <c r="K88" s="6"/>
      <c r="L88" s="6"/>
    </row>
    <row r="89" spans="1:12">
      <c r="A89" t="s">
        <v>15</v>
      </c>
      <c r="B89" t="s">
        <v>13</v>
      </c>
      <c r="C89">
        <v>38993.06</v>
      </c>
      <c r="D89">
        <v>32593.268749999999</v>
      </c>
      <c r="E89" s="6">
        <v>-6399.7912509999996</v>
      </c>
      <c r="F89">
        <v>-16.41</v>
      </c>
      <c r="G89" t="str">
        <f t="shared" si="6"/>
        <v>Significantly Over Budget</v>
      </c>
      <c r="H89" s="6">
        <f>SUM($E$2:E89)</f>
        <v>-24452.813080499996</v>
      </c>
      <c r="I89" s="6">
        <f t="shared" si="7"/>
        <v>-16.412641764970484</v>
      </c>
      <c r="J89" s="6" t="str">
        <f t="shared" si="8"/>
        <v>Below -10%</v>
      </c>
      <c r="K89" s="6"/>
      <c r="L89" s="6"/>
    </row>
    <row r="90" spans="1:12">
      <c r="A90" t="s">
        <v>8</v>
      </c>
      <c r="B90" t="s">
        <v>13</v>
      </c>
      <c r="C90">
        <v>32120.06</v>
      </c>
      <c r="D90">
        <v>22803.815320000002</v>
      </c>
      <c r="E90" s="6">
        <v>-9316.2446810000001</v>
      </c>
      <c r="F90">
        <v>-29</v>
      </c>
      <c r="G90" t="str">
        <f t="shared" si="6"/>
        <v>Significantly Over Budget</v>
      </c>
      <c r="H90" s="6">
        <f>SUM($E$2:E90)</f>
        <v>-33769.057761499993</v>
      </c>
      <c r="I90" s="6">
        <f t="shared" si="7"/>
        <v>-29.004443581363169</v>
      </c>
      <c r="J90" s="6" t="str">
        <f t="shared" si="8"/>
        <v>Below -10%</v>
      </c>
      <c r="K90" s="6"/>
      <c r="L90" s="6"/>
    </row>
    <row r="91" spans="1:12">
      <c r="A91" t="s">
        <v>10</v>
      </c>
      <c r="B91" t="s">
        <v>17</v>
      </c>
      <c r="C91">
        <v>40708.959999999999</v>
      </c>
      <c r="D91">
        <v>50281.585749999998</v>
      </c>
      <c r="E91" s="6">
        <v>9572.6257480000004</v>
      </c>
      <c r="F91">
        <v>23.51</v>
      </c>
      <c r="G91" t="str">
        <f t="shared" si="6"/>
        <v>Under Budget</v>
      </c>
      <c r="H91" s="6">
        <f>SUM($E$2:E91)</f>
        <v>-24196.432013499994</v>
      </c>
      <c r="I91" s="6">
        <f t="shared" si="7"/>
        <v>23.514788262829608</v>
      </c>
      <c r="J91" s="6" t="str">
        <f t="shared" si="8"/>
        <v>Above +10%</v>
      </c>
      <c r="K91" s="6"/>
      <c r="L91" s="6"/>
    </row>
    <row r="92" spans="1:12">
      <c r="A92" t="s">
        <v>10</v>
      </c>
      <c r="B92" t="s">
        <v>17</v>
      </c>
      <c r="C92">
        <v>37218.269999999997</v>
      </c>
      <c r="D92">
        <v>42738.274140000001</v>
      </c>
      <c r="E92" s="6">
        <v>5520.0041410000003</v>
      </c>
      <c r="F92">
        <v>14.83</v>
      </c>
      <c r="G92" t="str">
        <f t="shared" si="6"/>
        <v>Under Budget</v>
      </c>
      <c r="H92" s="6">
        <f>SUM($E$2:E92)</f>
        <v>-18676.427872499993</v>
      </c>
      <c r="I92" s="6">
        <f t="shared" si="7"/>
        <v>14.831436660005961</v>
      </c>
      <c r="J92" s="6" t="str">
        <f t="shared" si="8"/>
        <v>Above +10%</v>
      </c>
      <c r="K92" s="6"/>
      <c r="L92" s="6"/>
    </row>
    <row r="93" spans="1:12">
      <c r="A93" t="s">
        <v>6</v>
      </c>
      <c r="B93" t="s">
        <v>17</v>
      </c>
      <c r="C93">
        <v>45301.34</v>
      </c>
      <c r="D93">
        <v>47275.619599999998</v>
      </c>
      <c r="E93" s="6">
        <v>1974.2796020000001</v>
      </c>
      <c r="F93">
        <v>4.3600000000000003</v>
      </c>
      <c r="G93" t="str">
        <f t="shared" si="6"/>
        <v>Within Budget</v>
      </c>
      <c r="H93" s="6">
        <f>SUM($E$2:E93)</f>
        <v>-16702.148270499994</v>
      </c>
      <c r="I93" s="6">
        <f t="shared" si="7"/>
        <v>4.3581042017741645</v>
      </c>
      <c r="J93" s="6" t="str">
        <f t="shared" si="8"/>
        <v>-5% to +5%</v>
      </c>
      <c r="K93" s="6"/>
      <c r="L93" s="6"/>
    </row>
    <row r="94" spans="1:12">
      <c r="A94" t="s">
        <v>15</v>
      </c>
      <c r="B94" t="s">
        <v>17</v>
      </c>
      <c r="C94">
        <v>36279.35</v>
      </c>
      <c r="D94">
        <v>33736.322740000003</v>
      </c>
      <c r="E94" s="6">
        <v>-2543.0272559999999</v>
      </c>
      <c r="F94">
        <v>-7.01</v>
      </c>
      <c r="G94" t="str">
        <f t="shared" si="6"/>
        <v>Slightly Over Budget</v>
      </c>
      <c r="H94" s="6">
        <f>SUM($E$2:E94)</f>
        <v>-19245.175526499996</v>
      </c>
      <c r="I94" s="6">
        <f t="shared" si="7"/>
        <v>-7.0095722663167894</v>
      </c>
      <c r="J94" s="6" t="str">
        <f t="shared" si="8"/>
        <v>-10% to -5%</v>
      </c>
      <c r="K94" s="6"/>
      <c r="L94" s="6"/>
    </row>
    <row r="95" spans="1:12">
      <c r="A95" t="s">
        <v>11</v>
      </c>
      <c r="B95" t="s">
        <v>17</v>
      </c>
      <c r="C95">
        <v>42980.56</v>
      </c>
      <c r="D95">
        <v>37721.117140000002</v>
      </c>
      <c r="E95" s="6">
        <v>-5259.4428580000003</v>
      </c>
      <c r="F95">
        <v>-12.24</v>
      </c>
      <c r="G95" t="str">
        <f t="shared" si="6"/>
        <v>Significantly Over Budget</v>
      </c>
      <c r="H95" s="6">
        <f>SUM($E$2:E95)</f>
        <v>-24504.618384499998</v>
      </c>
      <c r="I95" s="6">
        <f t="shared" si="7"/>
        <v>-12.236794629944329</v>
      </c>
      <c r="J95" s="6" t="str">
        <f t="shared" si="8"/>
        <v>Below -10%</v>
      </c>
      <c r="K95" s="6"/>
      <c r="L95" s="6"/>
    </row>
    <row r="96" spans="1:12">
      <c r="A96" t="s">
        <v>15</v>
      </c>
      <c r="B96" t="s">
        <v>17</v>
      </c>
      <c r="C96">
        <v>36011.769999999997</v>
      </c>
      <c r="D96">
        <v>28077.949140000001</v>
      </c>
      <c r="E96" s="6">
        <v>-7933.820858</v>
      </c>
      <c r="F96">
        <v>-22.03</v>
      </c>
      <c r="G96" t="str">
        <f t="shared" si="6"/>
        <v>Significantly Over Budget</v>
      </c>
      <c r="H96" s="6">
        <f>SUM($E$2:E96)</f>
        <v>-32438.439242499997</v>
      </c>
      <c r="I96" s="6">
        <f t="shared" si="7"/>
        <v>-22.031188297603812</v>
      </c>
      <c r="J96" s="6" t="str">
        <f t="shared" si="8"/>
        <v>Below -10%</v>
      </c>
      <c r="K96" s="6"/>
      <c r="L96" s="6"/>
    </row>
    <row r="97" spans="1:12">
      <c r="A97" t="s">
        <v>8</v>
      </c>
      <c r="B97" t="s">
        <v>21</v>
      </c>
      <c r="C97">
        <v>42857.63</v>
      </c>
      <c r="D97">
        <v>46245.438029999998</v>
      </c>
      <c r="E97" s="6">
        <v>3387.8080289999998</v>
      </c>
      <c r="F97">
        <v>7.9</v>
      </c>
      <c r="G97" t="str">
        <f t="shared" si="6"/>
        <v>Under Budget</v>
      </c>
      <c r="H97" s="6">
        <f>SUM($E$2:E97)</f>
        <v>-29050.631213499997</v>
      </c>
      <c r="I97" s="6">
        <f t="shared" si="7"/>
        <v>7.904795549823918</v>
      </c>
      <c r="J97" s="6" t="str">
        <f t="shared" si="8"/>
        <v>+5% to +10%</v>
      </c>
      <c r="K97" s="6"/>
      <c r="L97" s="6"/>
    </row>
    <row r="98" spans="1:12">
      <c r="A98" t="s">
        <v>6</v>
      </c>
      <c r="B98" t="s">
        <v>21</v>
      </c>
      <c r="C98">
        <v>30559.83</v>
      </c>
      <c r="D98">
        <v>25442.775809999999</v>
      </c>
      <c r="E98" s="6">
        <v>-5117.0541919999996</v>
      </c>
      <c r="F98">
        <v>-16.739999999999998</v>
      </c>
      <c r="G98" t="str">
        <f t="shared" ref="G98:G101" si="9">IF(F98&gt;5,"Under Budget",IF(F98&gt;=-5,"Within Budget",IF(F98&gt;=-10,"Slightly Over Budget","Significantly Over Budget")))</f>
        <v>Significantly Over Budget</v>
      </c>
      <c r="H98" s="6">
        <f>SUM($E$2:E98)</f>
        <v>-34167.6854055</v>
      </c>
      <c r="I98" s="6">
        <f t="shared" si="7"/>
        <v>-16.744380423582196</v>
      </c>
      <c r="J98" s="6" t="str">
        <f t="shared" si="8"/>
        <v>Below -10%</v>
      </c>
      <c r="K98" s="6"/>
      <c r="L98" s="6"/>
    </row>
    <row r="99" spans="1:12">
      <c r="A99" t="s">
        <v>10</v>
      </c>
      <c r="B99" t="s">
        <v>21</v>
      </c>
      <c r="C99">
        <v>44873.31</v>
      </c>
      <c r="D99">
        <v>35220.9058</v>
      </c>
      <c r="E99" s="6">
        <v>-9652.4041959999995</v>
      </c>
      <c r="F99">
        <v>-21.51</v>
      </c>
      <c r="G99" t="str">
        <f t="shared" si="9"/>
        <v>Significantly Over Budget</v>
      </c>
      <c r="H99" s="6">
        <f>SUM($E$2:E99)</f>
        <v>-43820.089601500003</v>
      </c>
      <c r="I99" s="6">
        <f t="shared" si="7"/>
        <v>-21.51034589603486</v>
      </c>
      <c r="J99" s="6" t="str">
        <f t="shared" si="8"/>
        <v>Below -10%</v>
      </c>
      <c r="K99" s="6"/>
      <c r="L99" s="6"/>
    </row>
    <row r="100" spans="1:12">
      <c r="A100" t="s">
        <v>11</v>
      </c>
      <c r="B100" t="s">
        <v>21</v>
      </c>
      <c r="C100">
        <v>29731.07</v>
      </c>
      <c r="D100">
        <v>22245.900239999999</v>
      </c>
      <c r="E100" s="6">
        <v>-7485.1697640000002</v>
      </c>
      <c r="F100">
        <v>-25.18</v>
      </c>
      <c r="G100" t="str">
        <f t="shared" si="9"/>
        <v>Significantly Over Budget</v>
      </c>
      <c r="H100" s="6">
        <f>SUM($E$2:E100)</f>
        <v>-51305.259365500002</v>
      </c>
      <c r="I100" s="6">
        <f t="shared" si="7"/>
        <v>-25.176254214866805</v>
      </c>
      <c r="J100" s="6" t="str">
        <f t="shared" si="8"/>
        <v>Below -10%</v>
      </c>
      <c r="K100" s="6"/>
      <c r="L100" s="6"/>
    </row>
    <row r="101" spans="1:12">
      <c r="A101" t="s">
        <v>8</v>
      </c>
      <c r="B101" t="s">
        <v>21</v>
      </c>
      <c r="C101">
        <v>11630.16</v>
      </c>
      <c r="D101">
        <v>2664.0967449999998</v>
      </c>
      <c r="E101" s="6">
        <v>-8966.0632549999991</v>
      </c>
      <c r="F101">
        <v>-77.09</v>
      </c>
      <c r="G101" t="str">
        <f t="shared" si="9"/>
        <v>Significantly Over Budget</v>
      </c>
      <c r="H101" s="6">
        <f>SUM($E$2:E101)</f>
        <v>-60271.322620500003</v>
      </c>
      <c r="I101" s="6">
        <f t="shared" si="7"/>
        <v>-77.093206413325348</v>
      </c>
      <c r="J101" s="6" t="str">
        <f t="shared" si="8"/>
        <v>Below -10%</v>
      </c>
      <c r="K101" s="6"/>
      <c r="L101" s="6"/>
    </row>
    <row r="102" spans="1:12">
      <c r="I102" s="6"/>
      <c r="J102" s="6"/>
      <c r="K102" s="6"/>
      <c r="L102" s="6"/>
    </row>
    <row r="103" spans="1:12">
      <c r="L103" s="6"/>
    </row>
  </sheetData>
  <sortState xmlns:xlrd2="http://schemas.microsoft.com/office/spreadsheetml/2017/richdata2" ref="A2:I101">
    <sortCondition descending="1" ref="I2:I101"/>
  </sortState>
  <conditionalFormatting sqref="E1:E1048576">
    <cfRule type="cellIs" dxfId="6" priority="5" operator="lessThan">
      <formula>0</formula>
    </cfRule>
    <cfRule type="cellIs" dxfId="5" priority="6" operator="greaterThan">
      <formula>0</formula>
    </cfRule>
  </conditionalFormatting>
  <conditionalFormatting sqref="I1:K1048576 L2">
    <cfRule type="iconSet" priority="3">
      <iconSet iconSet="3TrafficLights2">
        <cfvo type="percent" val="0"/>
        <cfvo type="percent" val="33"/>
        <cfvo type="percent" val="67"/>
      </iconSet>
    </cfRule>
  </conditionalFormatting>
  <conditionalFormatting pivot="1" sqref="O33">
    <cfRule type="colorScale" priority="2">
      <colorScale>
        <cfvo type="min"/>
        <cfvo type="percentile" val="50"/>
        <cfvo type="max"/>
        <color rgb="FFF8696B"/>
        <color rgb="FFFFEB84"/>
        <color rgb="FF63BE7B"/>
      </colorScale>
    </cfRule>
  </conditionalFormatting>
  <conditionalFormatting sqref="M27:Z34">
    <cfRule type="colorScale" priority="1">
      <colorScale>
        <cfvo type="min"/>
        <cfvo type="percentile" val="50"/>
        <cfvo type="max"/>
        <color rgb="FFF8696B"/>
        <color rgb="FFFFEB84"/>
        <color rgb="FF63BE7B"/>
      </colorScale>
    </cfRule>
  </conditionalFormatting>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5A448-B088-49DD-BC20-83ED0B9EA48A}">
  <dimension ref="A1:H131"/>
  <sheetViews>
    <sheetView workbookViewId="0"/>
  </sheetViews>
  <sheetFormatPr defaultRowHeight="14.4"/>
  <sheetData>
    <row r="1" spans="1:8">
      <c r="A1" s="1" t="s">
        <v>23</v>
      </c>
      <c r="B1" s="1"/>
      <c r="C1" s="1"/>
      <c r="D1" s="1"/>
      <c r="E1" s="1"/>
      <c r="F1" s="1"/>
      <c r="G1" s="1"/>
      <c r="H1" s="1"/>
    </row>
    <row r="2" spans="1:8">
      <c r="A2" s="1"/>
      <c r="B2" s="1"/>
      <c r="C2" s="1"/>
      <c r="D2" s="1"/>
      <c r="E2" s="1"/>
      <c r="F2" s="1"/>
      <c r="G2" s="1"/>
      <c r="H2" s="1"/>
    </row>
    <row r="3" spans="1:8">
      <c r="A3" s="1" t="s">
        <v>24</v>
      </c>
      <c r="B3" s="1"/>
      <c r="C3" s="1"/>
      <c r="D3" s="1"/>
      <c r="E3" s="1"/>
      <c r="F3" s="1"/>
      <c r="G3" s="1"/>
      <c r="H3" s="1"/>
    </row>
    <row r="4" spans="1:8">
      <c r="A4" s="1"/>
      <c r="B4" s="1"/>
      <c r="C4" s="1"/>
      <c r="D4" s="1"/>
      <c r="E4" s="1"/>
      <c r="F4" s="1"/>
      <c r="G4" s="1"/>
      <c r="H4" s="1"/>
    </row>
    <row r="5" spans="1:8">
      <c r="A5" s="1" t="s">
        <v>25</v>
      </c>
      <c r="B5" s="1"/>
      <c r="C5" s="1"/>
      <c r="D5" s="1"/>
      <c r="E5" s="1"/>
      <c r="F5" s="1"/>
      <c r="G5" s="1"/>
      <c r="H5" s="1"/>
    </row>
    <row r="6" spans="1:8">
      <c r="A6" s="1"/>
      <c r="B6" s="1"/>
      <c r="C6" s="1"/>
      <c r="D6" s="1"/>
      <c r="E6" s="1"/>
      <c r="F6" s="1"/>
      <c r="G6" s="1"/>
      <c r="H6" s="1"/>
    </row>
    <row r="7" spans="1:8">
      <c r="A7" t="s">
        <v>26</v>
      </c>
    </row>
    <row r="11" spans="1:8">
      <c r="A11" t="s">
        <v>27</v>
      </c>
    </row>
    <row r="12" spans="1:8">
      <c r="A12" t="s">
        <v>28</v>
      </c>
    </row>
    <row r="13" spans="1:8">
      <c r="A13" s="1" t="s">
        <v>29</v>
      </c>
      <c r="B13" s="1"/>
      <c r="C13" s="1"/>
    </row>
    <row r="15" spans="1:8">
      <c r="A15" t="s">
        <v>30</v>
      </c>
    </row>
    <row r="17" spans="1:4">
      <c r="A17" t="s">
        <v>31</v>
      </c>
    </row>
    <row r="19" spans="1:4">
      <c r="A19" t="s">
        <v>32</v>
      </c>
    </row>
    <row r="21" spans="1:4">
      <c r="A21" t="s">
        <v>33</v>
      </c>
    </row>
    <row r="23" spans="1:4">
      <c r="A23" t="s">
        <v>34</v>
      </c>
    </row>
    <row r="25" spans="1:4">
      <c r="A25" t="s">
        <v>35</v>
      </c>
    </row>
    <row r="26" spans="1:4">
      <c r="A26" s="1" t="s">
        <v>36</v>
      </c>
      <c r="B26" s="1"/>
      <c r="C26" s="1"/>
      <c r="D26" s="1"/>
    </row>
    <row r="28" spans="1:4">
      <c r="A28" t="s">
        <v>37</v>
      </c>
    </row>
    <row r="30" spans="1:4">
      <c r="A30" t="s">
        <v>38</v>
      </c>
    </row>
    <row r="32" spans="1:4">
      <c r="A32" t="s">
        <v>39</v>
      </c>
    </row>
    <row r="34" spans="1:4">
      <c r="A34" t="s">
        <v>40</v>
      </c>
    </row>
    <row r="36" spans="1:4">
      <c r="A36" t="s">
        <v>41</v>
      </c>
    </row>
    <row r="37" spans="1:4">
      <c r="A37" s="1" t="s">
        <v>42</v>
      </c>
      <c r="B37" s="1"/>
      <c r="C37" s="1"/>
      <c r="D37" s="1"/>
    </row>
    <row r="39" spans="1:4">
      <c r="A39" t="s">
        <v>43</v>
      </c>
    </row>
    <row r="41" spans="1:4">
      <c r="A41" t="s">
        <v>44</v>
      </c>
    </row>
    <row r="43" spans="1:4">
      <c r="A43" t="s">
        <v>45</v>
      </c>
    </row>
    <row r="45" spans="1:4">
      <c r="A45" t="s">
        <v>46</v>
      </c>
    </row>
    <row r="47" spans="1:4">
      <c r="A47" t="s">
        <v>47</v>
      </c>
    </row>
    <row r="48" spans="1:4">
      <c r="A48" s="1" t="s">
        <v>48</v>
      </c>
      <c r="B48" s="1"/>
      <c r="C48" s="1"/>
    </row>
    <row r="50" spans="1:4">
      <c r="A50" t="s">
        <v>49</v>
      </c>
    </row>
    <row r="52" spans="1:4">
      <c r="A52" t="s">
        <v>50</v>
      </c>
    </row>
    <row r="54" spans="1:4">
      <c r="A54" t="s">
        <v>51</v>
      </c>
    </row>
    <row r="56" spans="1:4">
      <c r="A56" t="s">
        <v>52</v>
      </c>
    </row>
    <row r="57" spans="1:4">
      <c r="A57" s="1" t="s">
        <v>53</v>
      </c>
      <c r="B57" s="1"/>
      <c r="C57" s="1"/>
      <c r="D57" s="1"/>
    </row>
    <row r="59" spans="1:4">
      <c r="A59" t="s">
        <v>54</v>
      </c>
    </row>
    <row r="61" spans="1:4">
      <c r="A61" t="s">
        <v>55</v>
      </c>
    </row>
    <row r="63" spans="1:4">
      <c r="A63" t="s">
        <v>56</v>
      </c>
    </row>
    <row r="65" spans="1:4">
      <c r="A65" t="s">
        <v>57</v>
      </c>
    </row>
    <row r="67" spans="1:4">
      <c r="A67" t="s">
        <v>58</v>
      </c>
    </row>
    <row r="68" spans="1:4">
      <c r="A68" s="1" t="s">
        <v>59</v>
      </c>
      <c r="B68" s="1"/>
      <c r="C68" s="1"/>
      <c r="D68" s="1"/>
    </row>
    <row r="70" spans="1:4">
      <c r="A70" t="s">
        <v>60</v>
      </c>
    </row>
    <row r="72" spans="1:4">
      <c r="A72" t="s">
        <v>61</v>
      </c>
    </row>
    <row r="74" spans="1:4">
      <c r="A74" t="s">
        <v>62</v>
      </c>
    </row>
    <row r="76" spans="1:4">
      <c r="A76" t="s">
        <v>63</v>
      </c>
    </row>
    <row r="78" spans="1:4">
      <c r="A78" t="s">
        <v>64</v>
      </c>
    </row>
    <row r="79" spans="1:4">
      <c r="A79" s="1" t="s">
        <v>65</v>
      </c>
      <c r="B79" s="1"/>
      <c r="C79" s="1"/>
      <c r="D79" s="1"/>
    </row>
    <row r="81" spans="1:4">
      <c r="A81" t="s">
        <v>66</v>
      </c>
    </row>
    <row r="83" spans="1:4">
      <c r="A83" t="s">
        <v>67</v>
      </c>
    </row>
    <row r="85" spans="1:4">
      <c r="A85" t="s">
        <v>68</v>
      </c>
    </row>
    <row r="87" spans="1:4">
      <c r="A87" t="s">
        <v>69</v>
      </c>
    </row>
    <row r="88" spans="1:4">
      <c r="A88" s="1" t="s">
        <v>70</v>
      </c>
      <c r="B88" s="1"/>
      <c r="C88" s="1"/>
      <c r="D88" s="1"/>
    </row>
    <row r="90" spans="1:4">
      <c r="A90" t="s">
        <v>71</v>
      </c>
    </row>
    <row r="92" spans="1:4">
      <c r="A92" t="s">
        <v>72</v>
      </c>
    </row>
    <row r="94" spans="1:4">
      <c r="A94" t="s">
        <v>73</v>
      </c>
    </row>
    <row r="96" spans="1:4">
      <c r="A96" t="s">
        <v>74</v>
      </c>
    </row>
    <row r="97" spans="1:5">
      <c r="A97" s="1" t="s">
        <v>75</v>
      </c>
      <c r="B97" s="1"/>
      <c r="C97" s="1"/>
      <c r="D97" s="1"/>
      <c r="E97" s="1"/>
    </row>
    <row r="99" spans="1:5">
      <c r="A99" t="s">
        <v>76</v>
      </c>
    </row>
    <row r="101" spans="1:5">
      <c r="A101" t="s">
        <v>77</v>
      </c>
    </row>
    <row r="103" spans="1:5">
      <c r="A103" t="s">
        <v>78</v>
      </c>
    </row>
    <row r="105" spans="1:5">
      <c r="A105" t="s">
        <v>79</v>
      </c>
    </row>
    <row r="106" spans="1:5">
      <c r="A106" s="1" t="s">
        <v>80</v>
      </c>
      <c r="B106" s="1"/>
      <c r="C106" s="1"/>
      <c r="D106" s="1"/>
      <c r="E106" s="1"/>
    </row>
    <row r="107" spans="1:5">
      <c r="A107" s="1"/>
      <c r="B107" s="1"/>
      <c r="C107" s="1"/>
      <c r="D107" s="1"/>
      <c r="E107" s="1"/>
    </row>
    <row r="108" spans="1:5">
      <c r="A108" t="s">
        <v>81</v>
      </c>
    </row>
    <row r="110" spans="1:5">
      <c r="A110" s="2" t="s">
        <v>82</v>
      </c>
    </row>
    <row r="112" spans="1:5">
      <c r="A112" s="2" t="s">
        <v>83</v>
      </c>
    </row>
    <row r="114" spans="1:1">
      <c r="A114" s="2" t="s">
        <v>84</v>
      </c>
    </row>
    <row r="115" spans="1:1">
      <c r="A115" s="1"/>
    </row>
    <row r="116" spans="1:1">
      <c r="A116" s="1"/>
    </row>
    <row r="117" spans="1:1">
      <c r="A117" s="1"/>
    </row>
    <row r="118" spans="1:1">
      <c r="A118" s="1" t="s">
        <v>85</v>
      </c>
    </row>
    <row r="119" spans="1:1">
      <c r="A119" s="2" t="s">
        <v>86</v>
      </c>
    </row>
    <row r="121" spans="1:1">
      <c r="A121" s="2" t="s">
        <v>87</v>
      </c>
    </row>
    <row r="122" spans="1:1">
      <c r="A122" s="2" t="s">
        <v>88</v>
      </c>
    </row>
    <row r="123" spans="1:1">
      <c r="A123" s="2" t="s">
        <v>89</v>
      </c>
    </row>
    <row r="125" spans="1:1">
      <c r="A125" s="2" t="s">
        <v>90</v>
      </c>
    </row>
    <row r="127" spans="1:1">
      <c r="A127" s="2" t="s">
        <v>91</v>
      </c>
    </row>
    <row r="129" spans="1:1">
      <c r="A129" s="2" t="s">
        <v>92</v>
      </c>
    </row>
    <row r="131" spans="1:1">
      <c r="A131" s="2"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F5B62-774A-4038-BCD5-DD02C08A9C0B}">
  <dimension ref="A1:K39"/>
  <sheetViews>
    <sheetView workbookViewId="0">
      <selection activeCell="Q21" sqref="Q21"/>
    </sheetView>
  </sheetViews>
  <sheetFormatPr defaultRowHeight="14.4"/>
  <cols>
    <col min="1" max="1" width="12.5546875" bestFit="1" customWidth="1"/>
    <col min="2" max="2" width="14.77734375" bestFit="1" customWidth="1"/>
    <col min="3" max="3" width="12.77734375" bestFit="1" customWidth="1"/>
    <col min="4" max="4" width="20" bestFit="1" customWidth="1"/>
    <col min="10" max="11" width="18.33203125" customWidth="1"/>
  </cols>
  <sheetData>
    <row r="1" spans="1:11">
      <c r="A1" s="3" t="s">
        <v>114</v>
      </c>
      <c r="B1" t="s">
        <v>113</v>
      </c>
      <c r="I1" t="s">
        <v>120</v>
      </c>
    </row>
    <row r="2" spans="1:11" ht="16.8" customHeight="1">
      <c r="A2" s="4" t="s">
        <v>14</v>
      </c>
      <c r="B2">
        <v>-3.992</v>
      </c>
      <c r="I2" s="8" t="s">
        <v>1</v>
      </c>
      <c r="J2" s="8" t="s">
        <v>121</v>
      </c>
      <c r="K2" s="8" t="s">
        <v>122</v>
      </c>
    </row>
    <row r="3" spans="1:11">
      <c r="A3" s="4" t="s">
        <v>12</v>
      </c>
      <c r="B3">
        <v>-3.3311111111111109</v>
      </c>
      <c r="I3" s="4" t="s">
        <v>14</v>
      </c>
      <c r="J3">
        <v>-9898.6584320000002</v>
      </c>
      <c r="K3">
        <f>J3</f>
        <v>-9898.6584320000002</v>
      </c>
    </row>
    <row r="4" spans="1:11">
      <c r="A4" s="4" t="s">
        <v>19</v>
      </c>
      <c r="B4">
        <v>-14.991111111111113</v>
      </c>
      <c r="I4" s="4" t="s">
        <v>12</v>
      </c>
      <c r="J4">
        <v>-9815.6781169999995</v>
      </c>
      <c r="K4">
        <f>K3+J4</f>
        <v>-19714.336549</v>
      </c>
    </row>
    <row r="5" spans="1:11">
      <c r="A5" s="4" t="s">
        <v>9</v>
      </c>
      <c r="B5">
        <v>7.3758333333333352</v>
      </c>
      <c r="I5" s="4" t="s">
        <v>19</v>
      </c>
      <c r="J5">
        <v>-29261.508288199999</v>
      </c>
      <c r="K5">
        <f t="shared" ref="K5:K14" si="0">K4+J5</f>
        <v>-48975.844837199998</v>
      </c>
    </row>
    <row r="6" spans="1:11">
      <c r="A6" s="4" t="s">
        <v>22</v>
      </c>
      <c r="B6">
        <v>3.3820000000000001</v>
      </c>
      <c r="I6" s="4" t="s">
        <v>9</v>
      </c>
      <c r="J6">
        <v>6792.0427379999965</v>
      </c>
      <c r="K6">
        <f t="shared" si="0"/>
        <v>-42183.802099200002</v>
      </c>
    </row>
    <row r="7" spans="1:11">
      <c r="A7" s="4" t="s">
        <v>7</v>
      </c>
      <c r="B7">
        <v>6.6137500000000005</v>
      </c>
      <c r="I7" s="4" t="s">
        <v>22</v>
      </c>
      <c r="J7">
        <v>6898.7650160000003</v>
      </c>
      <c r="K7">
        <f t="shared" si="0"/>
        <v>-35285.037083200004</v>
      </c>
    </row>
    <row r="8" spans="1:11">
      <c r="A8" s="4" t="s">
        <v>20</v>
      </c>
      <c r="B8">
        <v>-2.6083333333333325</v>
      </c>
      <c r="I8" s="4" t="s">
        <v>7</v>
      </c>
      <c r="J8">
        <v>10571.220238</v>
      </c>
      <c r="K8">
        <f t="shared" si="0"/>
        <v>-24713.816845200003</v>
      </c>
    </row>
    <row r="9" spans="1:11">
      <c r="A9" s="4" t="s">
        <v>18</v>
      </c>
      <c r="B9">
        <v>0.73333333333333339</v>
      </c>
      <c r="I9" s="4" t="s">
        <v>20</v>
      </c>
      <c r="J9">
        <v>4113.6018309999999</v>
      </c>
      <c r="K9">
        <f t="shared" si="0"/>
        <v>-20600.215014200003</v>
      </c>
    </row>
    <row r="10" spans="1:11">
      <c r="A10" s="4" t="s">
        <v>21</v>
      </c>
      <c r="B10">
        <v>-26.524000000000001</v>
      </c>
      <c r="I10" s="4" t="s">
        <v>18</v>
      </c>
      <c r="J10">
        <v>-3602.1137288999989</v>
      </c>
      <c r="K10">
        <f t="shared" si="0"/>
        <v>-24202.328743100003</v>
      </c>
    </row>
    <row r="11" spans="1:11">
      <c r="A11" s="4" t="s">
        <v>17</v>
      </c>
      <c r="B11">
        <v>0.23666666666666636</v>
      </c>
      <c r="I11" s="4" t="s">
        <v>21</v>
      </c>
      <c r="J11">
        <v>-27832.883377999999</v>
      </c>
      <c r="K11">
        <f t="shared" si="0"/>
        <v>-52035.212121100005</v>
      </c>
    </row>
    <row r="12" spans="1:11">
      <c r="A12" s="4" t="s">
        <v>13</v>
      </c>
      <c r="B12">
        <v>-3.2508333333333326</v>
      </c>
      <c r="I12" s="4" t="s">
        <v>17</v>
      </c>
      <c r="J12">
        <v>1330.6185190000015</v>
      </c>
      <c r="K12">
        <f t="shared" si="0"/>
        <v>-50704.593602100002</v>
      </c>
    </row>
    <row r="13" spans="1:11">
      <c r="A13" s="4" t="s">
        <v>16</v>
      </c>
      <c r="B13">
        <v>2.9816666666666678</v>
      </c>
      <c r="I13" s="4" t="s">
        <v>13</v>
      </c>
      <c r="J13">
        <v>-14307.139112299999</v>
      </c>
      <c r="K13">
        <f t="shared" si="0"/>
        <v>-65011.732714400001</v>
      </c>
    </row>
    <row r="14" spans="1:11">
      <c r="A14" s="4" t="s">
        <v>96</v>
      </c>
      <c r="B14">
        <v>-1.9217000000000004</v>
      </c>
      <c r="I14" s="4" t="s">
        <v>16</v>
      </c>
      <c r="J14">
        <v>4740.4100938999973</v>
      </c>
      <c r="K14">
        <f t="shared" si="0"/>
        <v>-60271.322620500003</v>
      </c>
    </row>
    <row r="16" spans="1:11">
      <c r="A16" s="3" t="s">
        <v>95</v>
      </c>
      <c r="B16" t="s">
        <v>98</v>
      </c>
      <c r="C16" t="s">
        <v>97</v>
      </c>
    </row>
    <row r="17" spans="1:3">
      <c r="A17" s="4" t="s">
        <v>14</v>
      </c>
      <c r="B17">
        <v>309801.51999999996</v>
      </c>
      <c r="C17">
        <v>299902.86156600004</v>
      </c>
    </row>
    <row r="18" spans="1:3">
      <c r="A18" s="4" t="s">
        <v>12</v>
      </c>
      <c r="B18">
        <v>272160.36</v>
      </c>
      <c r="C18">
        <v>262344.68188000005</v>
      </c>
    </row>
    <row r="19" spans="1:3">
      <c r="A19" s="4" t="s">
        <v>19</v>
      </c>
      <c r="B19">
        <v>295081.42</v>
      </c>
      <c r="C19">
        <v>265819.911723</v>
      </c>
    </row>
    <row r="20" spans="1:3">
      <c r="A20" s="4" t="s">
        <v>9</v>
      </c>
      <c r="B20">
        <v>324507.43</v>
      </c>
      <c r="C20">
        <v>331299.47276000003</v>
      </c>
    </row>
    <row r="21" spans="1:3">
      <c r="A21" s="4" t="s">
        <v>22</v>
      </c>
      <c r="B21">
        <v>152348.97999999998</v>
      </c>
      <c r="C21">
        <v>159247.74502</v>
      </c>
    </row>
    <row r="22" spans="1:3">
      <c r="A22" s="4" t="s">
        <v>7</v>
      </c>
      <c r="B22">
        <v>258878.8</v>
      </c>
      <c r="C22">
        <v>269450.02023999998</v>
      </c>
    </row>
    <row r="23" spans="1:3">
      <c r="A23" s="4" t="s">
        <v>20</v>
      </c>
      <c r="B23">
        <v>130667.15</v>
      </c>
      <c r="C23">
        <v>134780.751835</v>
      </c>
    </row>
    <row r="24" spans="1:3">
      <c r="A24" s="4" t="s">
        <v>18</v>
      </c>
      <c r="B24">
        <v>186231.11</v>
      </c>
      <c r="C24">
        <v>182628.99625999999</v>
      </c>
    </row>
    <row r="25" spans="1:3">
      <c r="A25" s="4" t="s">
        <v>21</v>
      </c>
      <c r="B25">
        <v>159652</v>
      </c>
      <c r="C25">
        <v>131819.116625</v>
      </c>
    </row>
    <row r="26" spans="1:3">
      <c r="A26" s="4" t="s">
        <v>17</v>
      </c>
      <c r="B26">
        <v>238500.24999999997</v>
      </c>
      <c r="C26">
        <v>239830.86851</v>
      </c>
    </row>
    <row r="27" spans="1:3">
      <c r="A27" s="4" t="s">
        <v>13</v>
      </c>
      <c r="B27">
        <v>389551.4</v>
      </c>
      <c r="C27">
        <v>375244.26088000002</v>
      </c>
    </row>
    <row r="28" spans="1:3">
      <c r="A28" s="4" t="s">
        <v>16</v>
      </c>
      <c r="B28">
        <v>363459.44</v>
      </c>
      <c r="C28">
        <v>368199.85009800002</v>
      </c>
    </row>
    <row r="29" spans="1:3">
      <c r="A29" s="4" t="s">
        <v>96</v>
      </c>
      <c r="B29">
        <v>3080839.8599999994</v>
      </c>
      <c r="C29">
        <v>3020568.537397</v>
      </c>
    </row>
    <row r="32" spans="1:3">
      <c r="A32" s="1" t="s">
        <v>117</v>
      </c>
      <c r="B32" s="1"/>
      <c r="C32" s="1"/>
    </row>
    <row r="33" spans="1:2">
      <c r="A33" t="s">
        <v>58</v>
      </c>
    </row>
    <row r="34" spans="1:2">
      <c r="A34" s="12" t="s">
        <v>0</v>
      </c>
      <c r="B34" s="12" t="s">
        <v>116</v>
      </c>
    </row>
    <row r="35" spans="1:2">
      <c r="A35" s="13" t="s">
        <v>6</v>
      </c>
      <c r="B35" s="13">
        <v>80.551475983848761</v>
      </c>
    </row>
    <row r="36" spans="1:2">
      <c r="A36" s="13" t="s">
        <v>15</v>
      </c>
      <c r="B36" s="13">
        <v>65.249823448564655</v>
      </c>
    </row>
    <row r="37" spans="1:2">
      <c r="A37" s="13" t="s">
        <v>10</v>
      </c>
      <c r="B37" s="13">
        <v>59.935780403238738</v>
      </c>
    </row>
    <row r="38" spans="1:2">
      <c r="A38" s="13" t="s">
        <v>6</v>
      </c>
      <c r="B38" s="13">
        <v>46.733557599333572</v>
      </c>
    </row>
    <row r="39" spans="1:2">
      <c r="A39" s="13" t="s">
        <v>11</v>
      </c>
      <c r="B39" s="13">
        <v>42.043825159245038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A656-F346-43D7-8A4F-475D23E91F63}">
  <dimension ref="A50:T57"/>
  <sheetViews>
    <sheetView topLeftCell="A37" workbookViewId="0">
      <selection activeCell="D6" sqref="D6"/>
    </sheetView>
  </sheetViews>
  <sheetFormatPr defaultRowHeight="14.4"/>
  <cols>
    <col min="1" max="1" width="10.5546875" style="15" customWidth="1"/>
    <col min="2" max="22" width="8.88671875" style="15"/>
    <col min="23" max="23" width="5.5546875" style="15" customWidth="1"/>
    <col min="24" max="16384" width="8.88671875" style="15"/>
  </cols>
  <sheetData>
    <row r="50" spans="1:20">
      <c r="A50" s="3" t="s">
        <v>113</v>
      </c>
      <c r="B50" s="3" t="s">
        <v>100</v>
      </c>
      <c r="C50"/>
      <c r="D50"/>
      <c r="E50"/>
      <c r="F50"/>
      <c r="G50"/>
      <c r="H50"/>
      <c r="I50"/>
      <c r="J50"/>
      <c r="K50"/>
      <c r="L50"/>
      <c r="M50"/>
      <c r="N50"/>
    </row>
    <row r="51" spans="1:20">
      <c r="A51" s="3" t="s">
        <v>95</v>
      </c>
      <c r="B51" t="s">
        <v>14</v>
      </c>
      <c r="C51" t="s">
        <v>12</v>
      </c>
      <c r="D51" t="s">
        <v>19</v>
      </c>
      <c r="E51" t="s">
        <v>9</v>
      </c>
      <c r="F51" t="s">
        <v>22</v>
      </c>
      <c r="G51" t="s">
        <v>7</v>
      </c>
      <c r="H51" t="s">
        <v>20</v>
      </c>
      <c r="I51" t="s">
        <v>18</v>
      </c>
      <c r="J51" t="s">
        <v>21</v>
      </c>
      <c r="K51" t="s">
        <v>17</v>
      </c>
      <c r="L51" t="s">
        <v>13</v>
      </c>
      <c r="M51" t="s">
        <v>16</v>
      </c>
      <c r="N51" t="s">
        <v>96</v>
      </c>
    </row>
    <row r="52" spans="1:20">
      <c r="A52" s="4" t="s">
        <v>15</v>
      </c>
      <c r="B52">
        <v>65.25</v>
      </c>
      <c r="C52">
        <v>-21.83</v>
      </c>
      <c r="D52"/>
      <c r="E52">
        <v>-7.1749999999999998</v>
      </c>
      <c r="F52">
        <v>-3.0750000000000011</v>
      </c>
      <c r="G52">
        <v>15.03</v>
      </c>
      <c r="H52">
        <v>19.739999999999998</v>
      </c>
      <c r="I52">
        <v>-8.0500000000000007</v>
      </c>
      <c r="J52"/>
      <c r="K52">
        <v>-14.52</v>
      </c>
      <c r="L52">
        <v>-16.41</v>
      </c>
      <c r="M52">
        <v>-1.38</v>
      </c>
      <c r="N52">
        <v>-0.3742857142857145</v>
      </c>
    </row>
    <row r="53" spans="1:20">
      <c r="A53" s="4" t="s">
        <v>8</v>
      </c>
      <c r="B53">
        <v>4.2066666666666661</v>
      </c>
      <c r="C53">
        <v>-3.22</v>
      </c>
      <c r="D53">
        <v>-4.68</v>
      </c>
      <c r="E53">
        <v>-2.089999999999999</v>
      </c>
      <c r="F53"/>
      <c r="G53">
        <v>-7.33</v>
      </c>
      <c r="H53">
        <v>27.21</v>
      </c>
      <c r="I53"/>
      <c r="J53">
        <v>-34.594999999999999</v>
      </c>
      <c r="K53"/>
      <c r="L53">
        <v>-13.666666666666666</v>
      </c>
      <c r="M53">
        <v>21.12</v>
      </c>
      <c r="N53">
        <v>-4.306111111111111</v>
      </c>
    </row>
    <row r="54" spans="1:20">
      <c r="A54" s="4" t="s">
        <v>10</v>
      </c>
      <c r="B54">
        <v>-10.119999999999999</v>
      </c>
      <c r="C54">
        <v>-15.366666666666665</v>
      </c>
      <c r="D54">
        <v>-76.14</v>
      </c>
      <c r="E54">
        <v>25.32</v>
      </c>
      <c r="F54">
        <v>3.0750000000000002</v>
      </c>
      <c r="G54">
        <v>-0.1800000000000003</v>
      </c>
      <c r="H54">
        <v>16.52</v>
      </c>
      <c r="I54"/>
      <c r="J54">
        <v>-21.51</v>
      </c>
      <c r="K54">
        <v>19.170000000000002</v>
      </c>
      <c r="L54">
        <v>-4.82</v>
      </c>
      <c r="M54">
        <v>9.9649999999999999</v>
      </c>
      <c r="N54">
        <v>0.35000000000000003</v>
      </c>
      <c r="T54" s="16" t="s">
        <v>124</v>
      </c>
    </row>
    <row r="55" spans="1:20">
      <c r="A55" s="4" t="s">
        <v>11</v>
      </c>
      <c r="B55">
        <v>-37.07</v>
      </c>
      <c r="C55">
        <v>17.323333333333334</v>
      </c>
      <c r="D55">
        <v>-6.5666666666666664</v>
      </c>
      <c r="E55">
        <v>4.9700000000000006</v>
      </c>
      <c r="F55">
        <v>16.91</v>
      </c>
      <c r="G55">
        <v>42.04</v>
      </c>
      <c r="H55">
        <v>-2.75</v>
      </c>
      <c r="I55">
        <v>-6.6449999999999996</v>
      </c>
      <c r="J55">
        <v>-25.18</v>
      </c>
      <c r="K55">
        <v>-12.24</v>
      </c>
      <c r="L55">
        <v>3.4175000000000004</v>
      </c>
      <c r="M55">
        <v>-11.5975</v>
      </c>
      <c r="N55">
        <v>-2.3664000000000001</v>
      </c>
    </row>
    <row r="56" spans="1:20">
      <c r="A56" s="4" t="s">
        <v>6</v>
      </c>
      <c r="B56">
        <v>-11.704999999999998</v>
      </c>
      <c r="C56">
        <v>-10.8</v>
      </c>
      <c r="D56">
        <v>-9.9066666666666663</v>
      </c>
      <c r="E56"/>
      <c r="F56"/>
      <c r="G56">
        <v>1.855</v>
      </c>
      <c r="H56">
        <v>-38.185000000000002</v>
      </c>
      <c r="I56">
        <v>16.895</v>
      </c>
      <c r="J56">
        <v>-16.739999999999998</v>
      </c>
      <c r="K56">
        <v>4.3600000000000003</v>
      </c>
      <c r="L56">
        <v>7.1849999999999996</v>
      </c>
      <c r="M56">
        <v>10.625</v>
      </c>
      <c r="N56">
        <v>-2.9154999999999989</v>
      </c>
    </row>
    <row r="57" spans="1:20">
      <c r="A57" s="4" t="s">
        <v>96</v>
      </c>
      <c r="B57">
        <v>-3.9920000000000018</v>
      </c>
      <c r="C57">
        <v>-3.3311111111111105</v>
      </c>
      <c r="D57">
        <v>-14.991111111111113</v>
      </c>
      <c r="E57">
        <v>7.3758333333333352</v>
      </c>
      <c r="F57">
        <v>3.3820000000000001</v>
      </c>
      <c r="G57">
        <v>6.6137499999999996</v>
      </c>
      <c r="H57">
        <v>-2.6083333333333329</v>
      </c>
      <c r="I57">
        <v>0.73333333333333306</v>
      </c>
      <c r="J57">
        <v>-26.524000000000001</v>
      </c>
      <c r="K57">
        <v>0.23666666666666711</v>
      </c>
      <c r="L57">
        <v>-3.2508333333333326</v>
      </c>
      <c r="M57">
        <v>2.9816666666666674</v>
      </c>
      <c r="N57">
        <v>-1.9217</v>
      </c>
    </row>
  </sheetData>
  <conditionalFormatting pivot="1" sqref="C56">
    <cfRule type="colorScale" priority="2">
      <colorScale>
        <cfvo type="min"/>
        <cfvo type="percentile" val="50"/>
        <cfvo type="max"/>
        <color rgb="FFF8696B"/>
        <color rgb="FFFFEB84"/>
        <color rgb="FF63BE7B"/>
      </colorScale>
    </cfRule>
  </conditionalFormatting>
  <conditionalFormatting sqref="A50:N57">
    <cfRule type="colorScale" priority="1">
      <colorScale>
        <cfvo type="min"/>
        <cfvo type="percentile" val="50"/>
        <cfvo type="max"/>
        <color rgb="FFF8696B"/>
        <color rgb="FFFFEB84"/>
        <color rgb="FF63BE7B"/>
      </colorScale>
    </cfRule>
  </conditionalFormatting>
  <hyperlinks>
    <hyperlink ref="T54" location="Dataset!A1" display="Dataset!A1" xr:uid="{9F717E3D-D3D4-442B-802B-6CF63F21E99E}"/>
  </hyperlink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BF19-4D11-4AE3-A53D-84B98FA5898E}">
  <dimension ref="A1:D22"/>
  <sheetViews>
    <sheetView tabSelected="1" workbookViewId="0">
      <selection activeCell="N20" sqref="N20"/>
    </sheetView>
  </sheetViews>
  <sheetFormatPr defaultRowHeight="14.4"/>
  <cols>
    <col min="1" max="1" width="12.5546875" bestFit="1" customWidth="1"/>
    <col min="2" max="2" width="13.5546875" bestFit="1" customWidth="1"/>
    <col min="3" max="3" width="12.77734375" bestFit="1" customWidth="1"/>
    <col min="4" max="4" width="14.88671875" bestFit="1" customWidth="1"/>
  </cols>
  <sheetData>
    <row r="1" spans="1:4">
      <c r="A1" s="3" t="s">
        <v>95</v>
      </c>
      <c r="B1" t="s">
        <v>97</v>
      </c>
      <c r="C1" t="s">
        <v>98</v>
      </c>
    </row>
    <row r="2" spans="1:4">
      <c r="A2" s="4" t="s">
        <v>15</v>
      </c>
      <c r="B2">
        <v>469924.88322000002</v>
      </c>
      <c r="C2">
        <v>476863.21000000008</v>
      </c>
    </row>
    <row r="3" spans="1:4">
      <c r="A3" s="4" t="s">
        <v>8</v>
      </c>
      <c r="B3">
        <v>579626.85630499991</v>
      </c>
      <c r="C3">
        <v>599259.40999999992</v>
      </c>
    </row>
    <row r="4" spans="1:4">
      <c r="A4" s="4" t="s">
        <v>10</v>
      </c>
      <c r="B4">
        <v>715768.88606299995</v>
      </c>
      <c r="C4">
        <v>715419.45</v>
      </c>
    </row>
    <row r="5" spans="1:4">
      <c r="A5" s="4" t="s">
        <v>11</v>
      </c>
      <c r="B5">
        <v>720364.02011399996</v>
      </c>
      <c r="C5">
        <v>725453.53999999992</v>
      </c>
    </row>
    <row r="6" spans="1:4">
      <c r="A6" s="4" t="s">
        <v>6</v>
      </c>
      <c r="B6">
        <v>534883.891695</v>
      </c>
      <c r="C6">
        <v>563844.25</v>
      </c>
    </row>
    <row r="7" spans="1:4">
      <c r="A7" s="4" t="s">
        <v>96</v>
      </c>
      <c r="B7">
        <v>3020568.537397</v>
      </c>
      <c r="C7">
        <v>3080839.86</v>
      </c>
    </row>
    <row r="16" spans="1:4">
      <c r="A16" s="3" t="s">
        <v>95</v>
      </c>
      <c r="B16" t="s">
        <v>98</v>
      </c>
      <c r="C16" t="s">
        <v>97</v>
      </c>
      <c r="D16" t="s">
        <v>99</v>
      </c>
    </row>
    <row r="17" spans="1:4">
      <c r="A17" s="4" t="s">
        <v>15</v>
      </c>
      <c r="B17">
        <v>476863.21000000008</v>
      </c>
      <c r="C17">
        <v>469924.88322000002</v>
      </c>
      <c r="D17">
        <v>-6938.3267885999985</v>
      </c>
    </row>
    <row r="18" spans="1:4">
      <c r="A18" s="4" t="s">
        <v>8</v>
      </c>
      <c r="B18">
        <v>599259.40999999992</v>
      </c>
      <c r="C18">
        <v>579626.85630499991</v>
      </c>
      <c r="D18">
        <v>-19632.553719</v>
      </c>
    </row>
    <row r="19" spans="1:4">
      <c r="A19" s="4" t="s">
        <v>10</v>
      </c>
      <c r="B19">
        <v>715419.45</v>
      </c>
      <c r="C19">
        <v>715768.88606299995</v>
      </c>
      <c r="D19">
        <v>349.43608999999742</v>
      </c>
    </row>
    <row r="20" spans="1:4">
      <c r="A20" s="4" t="s">
        <v>11</v>
      </c>
      <c r="B20">
        <v>725453.53999999992</v>
      </c>
      <c r="C20">
        <v>720364.02011399996</v>
      </c>
      <c r="D20">
        <v>-5089.5198969000003</v>
      </c>
    </row>
    <row r="21" spans="1:4">
      <c r="A21" s="4" t="s">
        <v>6</v>
      </c>
      <c r="B21">
        <v>563844.25</v>
      </c>
      <c r="C21">
        <v>534883.891695</v>
      </c>
      <c r="D21">
        <v>-28960.358305999998</v>
      </c>
    </row>
    <row r="22" spans="1:4">
      <c r="A22" s="4" t="s">
        <v>96</v>
      </c>
      <c r="B22">
        <v>3080839.86</v>
      </c>
      <c r="C22">
        <v>3020568.537397</v>
      </c>
      <c r="D22">
        <v>-60271.322620500003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5B95-3743-4B87-999D-0B7479CCAA79}">
  <dimension ref="A1:C8"/>
  <sheetViews>
    <sheetView workbookViewId="0">
      <selection activeCell="L7" sqref="L7"/>
    </sheetView>
  </sheetViews>
  <sheetFormatPr defaultRowHeight="14.4"/>
  <cols>
    <col min="1" max="1" width="23.44140625" customWidth="1"/>
    <col min="2" max="2" width="19" customWidth="1"/>
    <col min="3" max="3" width="11.6640625" bestFit="1" customWidth="1"/>
  </cols>
  <sheetData>
    <row r="1" spans="1:3">
      <c r="A1" s="8" t="s">
        <v>104</v>
      </c>
      <c r="B1" s="8" t="s">
        <v>105</v>
      </c>
    </row>
    <row r="2" spans="1:3">
      <c r="A2" s="9" t="s">
        <v>106</v>
      </c>
      <c r="B2" s="10">
        <f>SUM(Dataset!C:C)</f>
        <v>3080839.8600000003</v>
      </c>
    </row>
    <row r="3" spans="1:3">
      <c r="A3" s="9" t="s">
        <v>107</v>
      </c>
      <c r="B3" s="10">
        <f>SUM(Dataset!E82:E101)</f>
        <v>-49436.513488299999</v>
      </c>
    </row>
    <row r="4" spans="1:3">
      <c r="A4" s="9" t="s">
        <v>108</v>
      </c>
      <c r="B4" s="10">
        <f>SUM(Dataset!E57:E81)</f>
        <v>-10566.166199199995</v>
      </c>
    </row>
    <row r="5" spans="1:3">
      <c r="A5" s="9" t="s">
        <v>109</v>
      </c>
      <c r="B5" s="11">
        <f>SUM(Dataset!E34:E56)</f>
        <v>-36160.157444000004</v>
      </c>
    </row>
    <row r="6" spans="1:3">
      <c r="A6" s="9" t="s">
        <v>110</v>
      </c>
      <c r="B6" s="10">
        <f>SUM(Dataset!E16:E33)</f>
        <v>1995.0988209999996</v>
      </c>
    </row>
    <row r="7" spans="1:3">
      <c r="A7" s="9" t="s">
        <v>111</v>
      </c>
      <c r="B7" s="10">
        <f>SUM(Dataset!E2:E15)</f>
        <v>33896.415690000002</v>
      </c>
      <c r="C7" s="6"/>
    </row>
    <row r="8" spans="1:3">
      <c r="A8" s="9" t="s">
        <v>112</v>
      </c>
      <c r="B8">
        <f>SUM(Dataset!D:D)</f>
        <v>3020568.5373969995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4E7FB-AF05-4239-8E66-501B0BA98194}">
  <dimension ref="A1:E11"/>
  <sheetViews>
    <sheetView workbookViewId="0">
      <selection activeCell="A9" sqref="A9"/>
    </sheetView>
  </sheetViews>
  <sheetFormatPr defaultRowHeight="14.4"/>
  <cols>
    <col min="1" max="1" width="37.88671875" customWidth="1"/>
    <col min="4" max="4" width="11" customWidth="1"/>
  </cols>
  <sheetData>
    <row r="1" spans="1:5">
      <c r="A1" t="s">
        <v>31</v>
      </c>
      <c r="B1">
        <f>SUMIF(KPI!A:A,"*",Dataset!C:C)</f>
        <v>78696.290000000008</v>
      </c>
      <c r="D1" t="s">
        <v>102</v>
      </c>
      <c r="E1" t="s">
        <v>103</v>
      </c>
    </row>
    <row r="2" spans="1:5">
      <c r="D2">
        <f>SUM(Dataset!C:C)</f>
        <v>3080839.8600000003</v>
      </c>
      <c r="E2">
        <f>SUM(Dataset!D:D)</f>
        <v>3020568.5373969995</v>
      </c>
    </row>
    <row r="3" spans="1:5">
      <c r="A3" t="s">
        <v>32</v>
      </c>
    </row>
    <row r="5" spans="1:5">
      <c r="A5" t="s">
        <v>33</v>
      </c>
      <c r="B5" s="7">
        <f>COUNTIFS(Dataset!G:G,"Within Budget")</f>
        <v>19</v>
      </c>
    </row>
    <row r="7" spans="1:5">
      <c r="A7" t="s">
        <v>34</v>
      </c>
      <c r="B7">
        <f>MAX(Dataset!E:E)</f>
        <v>9842.6663270000008</v>
      </c>
    </row>
    <row r="9" spans="1:5">
      <c r="A9" t="s">
        <v>35</v>
      </c>
      <c r="B9">
        <f>MIN(Dataset!E:E)</f>
        <v>-9819.3919170000008</v>
      </c>
    </row>
    <row r="11" spans="1:5">
      <c r="B1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Variance Distribution Analysis</vt:lpstr>
      <vt:lpstr> Interactive Financial Controls</vt:lpstr>
      <vt:lpstr>Dataset</vt:lpstr>
      <vt:lpstr>Questions</vt:lpstr>
      <vt:lpstr>Variance Trend Analysis</vt:lpstr>
      <vt:lpstr>dashboard</vt:lpstr>
      <vt:lpstr>Budget vs Actual Variance</vt:lpstr>
      <vt:lpstr>waterfall implemantation</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A B</dc:creator>
  <cp:lastModifiedBy>Anagha A B</cp:lastModifiedBy>
  <dcterms:created xsi:type="dcterms:W3CDTF">2026-06-15T13:07:48Z</dcterms:created>
  <dcterms:modified xsi:type="dcterms:W3CDTF">2026-06-17T05:55:40Z</dcterms:modified>
</cp:coreProperties>
</file>