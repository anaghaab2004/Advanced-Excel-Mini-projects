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2.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8.xml" ContentType="application/vnd.openxmlformats-officedocument.drawing+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9.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OneDrive\Desktop\Data Analytics\"/>
    </mc:Choice>
  </mc:AlternateContent>
  <xr:revisionPtr revIDLastSave="0" documentId="13_ncr:1_{69E4EB5C-7597-46F7-A0B1-C6DBB7E17752}" xr6:coauthVersionLast="47" xr6:coauthVersionMax="47" xr10:uidLastSave="{00000000-0000-0000-0000-000000000000}"/>
  <bookViews>
    <workbookView xWindow="-108" yWindow="-108" windowWidth="23256" windowHeight="12456" firstSheet="4" activeTab="9" xr2:uid="{76E1DD18-B0FF-406F-8AD5-E9C4AD454C53}"/>
  </bookViews>
  <sheets>
    <sheet name="Feedback Category" sheetId="5" r:id="rId1"/>
    <sheet name="Questions" sheetId="1" r:id="rId2"/>
    <sheet name="filtering system" sheetId="11" r:id="rId3"/>
    <sheet name="Response Time Charts" sheetId="9" r:id="rId4"/>
    <sheet name="Resolution Rate Analysis" sheetId="8" r:id="rId5"/>
    <sheet name="Cross-Analysis Charts" sheetId="12" r:id="rId6"/>
    <sheet name="dataset" sheetId="2" r:id="rId7"/>
    <sheet name="Dashboard" sheetId="13" r:id="rId8"/>
    <sheet name="servive rating distribution" sheetId="4" r:id="rId9"/>
    <sheet name="KPI" sheetId="3" r:id="rId10"/>
    <sheet name="Time Trend Analysis" sheetId="10" r:id="rId11"/>
    <sheet name="Calculation" sheetId="7" r:id="rId12"/>
  </sheets>
  <definedNames>
    <definedName name="_xlchart.v1.0" hidden="1">dataset!$E$2:$E$101</definedName>
    <definedName name="_xlchart.v1.1" hidden="1">dataset!$E$2:$E$101</definedName>
    <definedName name="NativeTimeline_Date">#N/A</definedName>
    <definedName name="Slicer_Feedback_Category">#N/A</definedName>
    <definedName name="Slicer_Issue_Resolved">#N/A</definedName>
    <definedName name="Slicer_Service_Rating">#N/A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 i="3" l="1"/>
  <c r="F6" i="12"/>
  <c r="F5" i="12"/>
  <c r="F4" i="12"/>
  <c r="F3" i="12"/>
  <c r="F2" i="12"/>
  <c r="E4" i="12"/>
  <c r="E6" i="12"/>
  <c r="E5" i="12"/>
  <c r="E3" i="12"/>
  <c r="D6" i="12"/>
  <c r="D5" i="12"/>
  <c r="D4" i="12"/>
  <c r="D3" i="12"/>
  <c r="D2" i="12"/>
  <c r="E2" i="12"/>
  <c r="C2" i="12"/>
  <c r="C6" i="12"/>
  <c r="C5" i="12"/>
  <c r="C4" i="12"/>
  <c r="C3" i="12"/>
  <c r="B2" i="12"/>
  <c r="B5" i="12"/>
  <c r="B6" i="12"/>
  <c r="B4" i="12"/>
  <c r="B3" i="12"/>
  <c r="C2" i="8"/>
  <c r="B14" i="8"/>
  <c r="H2"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B6" i="9"/>
  <c r="B5" i="9"/>
  <c r="B4" i="9"/>
  <c r="B3" i="9"/>
  <c r="B2" i="9"/>
  <c r="C6" i="8"/>
  <c r="C5" i="8"/>
  <c r="C4" i="8"/>
  <c r="C3" i="8"/>
  <c r="B6" i="8"/>
  <c r="B5" i="8"/>
  <c r="B4" i="8"/>
  <c r="B3" i="8"/>
  <c r="B2" i="8"/>
  <c r="B2" i="7"/>
  <c r="A2" i="7"/>
  <c r="C2" i="7" s="1"/>
  <c r="B5" i="5"/>
  <c r="B2" i="5"/>
  <c r="B7" i="5"/>
  <c r="B6" i="5"/>
  <c r="B4" i="5"/>
  <c r="B3" i="5"/>
  <c r="B6" i="4"/>
  <c r="C6" i="4" s="1"/>
  <c r="B5" i="4"/>
  <c r="C5" i="4" s="1"/>
  <c r="B4" i="4"/>
  <c r="C4" i="4" s="1"/>
  <c r="B3" i="4"/>
  <c r="C3" i="4" s="1"/>
  <c r="B2" i="4"/>
  <c r="C2" i="4" s="1"/>
  <c r="B7" i="3"/>
  <c r="B3" i="3" l="1"/>
  <c r="I2" i="2"/>
</calcChain>
</file>

<file path=xl/sharedStrings.xml><?xml version="1.0" encoding="utf-8"?>
<sst xmlns="http://schemas.openxmlformats.org/spreadsheetml/2006/main" count="444" uniqueCount="206">
  <si>
    <t>Customer Feedback Analysis</t>
  </si>
  <si>
    <t>Objective: Visualize customer satisfaction survey results and build a dashboard.</t>
  </si>
  <si>
    <r>
      <rPr>
        <b/>
        <sz val="11"/>
        <color rgb="FF000000"/>
        <rFont val="Calibri"/>
      </rPr>
      <t xml:space="preserve">Dataset: </t>
    </r>
    <r>
      <rPr>
        <b/>
        <sz val="11"/>
        <color theme="1"/>
        <rFont val="Calibri"/>
      </rPr>
      <t>Customer ID</t>
    </r>
    <r>
      <rPr>
        <b/>
        <sz val="11"/>
        <color rgb="FF000000"/>
        <rFont val="Calibri"/>
      </rPr>
      <t xml:space="preserve">, </t>
    </r>
    <r>
      <rPr>
        <b/>
        <sz val="11"/>
        <color theme="1"/>
        <rFont val="Calibri"/>
      </rPr>
      <t>Date</t>
    </r>
    <r>
      <rPr>
        <b/>
        <sz val="11"/>
        <color rgb="FF000000"/>
        <rFont val="Calibri"/>
      </rPr>
      <t xml:space="preserve">, </t>
    </r>
    <r>
      <rPr>
        <b/>
        <sz val="11"/>
        <color theme="1"/>
        <rFont val="Calibri"/>
      </rPr>
      <t>Service Rating (1–5)</t>
    </r>
    <r>
      <rPr>
        <b/>
        <sz val="11"/>
        <color rgb="FF000000"/>
        <rFont val="Calibri"/>
      </rPr>
      <t xml:space="preserve">, </t>
    </r>
    <r>
      <rPr>
        <b/>
        <sz val="11"/>
        <color theme="1"/>
        <rFont val="Calibri"/>
      </rPr>
      <t>Feedback Category</t>
    </r>
    <r>
      <rPr>
        <b/>
        <sz val="11"/>
        <color rgb="FF000000"/>
        <rFont val="Calibri"/>
      </rPr>
      <t xml:space="preserve">, </t>
    </r>
    <r>
      <rPr>
        <b/>
        <sz val="11"/>
        <color theme="1"/>
        <rFont val="Calibri"/>
      </rPr>
      <t>Response Time</t>
    </r>
    <r>
      <rPr>
        <b/>
        <sz val="11"/>
        <color rgb="FF000000"/>
        <rFont val="Calibri"/>
      </rPr>
      <t xml:space="preserve">, </t>
    </r>
    <r>
      <rPr>
        <b/>
        <sz val="11"/>
        <color theme="1"/>
        <rFont val="Calibri"/>
      </rPr>
      <t>Issue Resolved (Yes/No)</t>
    </r>
    <r>
      <rPr>
        <b/>
        <sz val="11"/>
        <color rgb="FF000000"/>
        <rFont val="Calibri"/>
      </rPr>
      <t>.</t>
    </r>
  </si>
  <si>
    <t>Tasks:</t>
  </si>
  <si>
    <t>1. Key Performance Indicators (KPIs) Section</t>
  </si>
  <si>
    <t>Task: Create a KPI summary panel showing:</t>
  </si>
  <si>
    <t>Overall Satisfaction Score (Average of Service Rating)</t>
  </si>
  <si>
    <t>Net Promoter Score (NPS) Calculation</t>
  </si>
  <si>
    <t>Issue Resolution Rate (% of "Yes" in Issue Resolved)</t>
  </si>
  <si>
    <t>Average Response Time</t>
  </si>
  <si>
    <t>Total Feedback Count</t>
  </si>
  <si>
    <t>2. Service Rating Distribution</t>
  </si>
  <si>
    <t>Task: Build a frequency chart for Service Ratings (1-5)</t>
  </si>
  <si>
    <t>Use a bar chart or histogram</t>
  </si>
  <si>
    <t>Show count and percentage for each rating</t>
  </si>
  <si>
    <t>Color-code from red (1) to green (5) for visual impact</t>
  </si>
  <si>
    <t>3. Feedback Category Analysis</t>
  </si>
  <si>
    <t>Task: Create visualization for Feedback Categories</t>
  </si>
  <si>
    <t>Pie chart showing distribution of feedback categories</t>
  </si>
  <si>
    <t>Donut chart alternative for modern look</t>
  </si>
  <si>
    <t>Include percentage breakdown for each category</t>
  </si>
  <si>
    <t>4. Net Promoter Score (NPS) Calculation</t>
  </si>
  <si>
    <t>Task: Implement formula-based NPS dashboard</t>
  </si>
  <si>
    <t>Formula: NPS = % Promoters (Rating 4-5) - % Detractors (Rating 1-2)</t>
  </si>
  <si>
    <t>Create gauge chart or progress bar for NPS visualization</t>
  </si>
  <si>
    <t>Show NPS trend over time</t>
  </si>
  <si>
    <t>5. Resolution Rate Analysis</t>
  </si>
  <si>
    <t>Task: Display issue resolution metrics</t>
  </si>
  <si>
    <t>Resolution Rate = (Issues Resolved Yes / Total Issues) * 100</t>
  </si>
  <si>
    <t>Pie chart showing Resolved vs. Not Resolved</t>
  </si>
  <si>
    <t>Resolution rate by feedback category</t>
  </si>
  <si>
    <t>6. Response Time Performance</t>
  </si>
  <si>
    <t>Task: Visualize response time efficiency</t>
  </si>
  <si>
    <t>Average response time by category</t>
  </si>
  <si>
    <t>Response time distribution histogram</t>
  </si>
  <si>
    <t>Response time vs. satisfaction correlation chart</t>
  </si>
  <si>
    <t>7. Time Trend Analysis</t>
  </si>
  <si>
    <t>Task: Create time-based visualizations</t>
  </si>
  <si>
    <t>Monthly/Weekly trends in satisfaction scores</t>
  </si>
  <si>
    <t>NPS trend over time</t>
  </si>
  <si>
    <t>Resolution rate progression</t>
  </si>
  <si>
    <t>8. Interactive Filtering System</t>
  </si>
  <si>
    <t>Task: Implement interactive controls</t>
  </si>
  <si>
    <t>Date range selector (from/to dates)</t>
  </si>
  <si>
    <t>Feedback category drop-down filter</t>
  </si>
  <si>
    <t>Service rating slicer (1-5 stars)</t>
  </si>
  <si>
    <t>Resolution status toggle (Yes/No/All)</t>
  </si>
  <si>
    <t>9. Cross-Analysis Charts</t>
  </si>
  <si>
    <t>Task: Build relationship visualizations</t>
  </si>
  <si>
    <t>Satisfaction vs. Response Time scatter plot</t>
  </si>
  <si>
    <t>Resolution rate by category stacked bar chart</t>
  </si>
  <si>
    <t>Rating distribution by category heat map</t>
  </si>
  <si>
    <t>10. Detailed Feedback Report</t>
  </si>
  <si>
    <t>Task: Create drill-down capabilities</t>
  </si>
  <si>
    <t>Interactive data table with all feedback details</t>
  </si>
  <si>
    <t>Filter-based insights that update dynamically</t>
  </si>
  <si>
    <t>Export functionality for reports</t>
  </si>
  <si>
    <t>Technical Implementation</t>
  </si>
  <si>
    <t>NPS Calculation Formula:</t>
  </si>
  <si>
    <t>Promoters = COUNTIF(Service Rating &gt;= 4)</t>
  </si>
  <si>
    <t>Detractors = COUNTIF(Service Rating &lt;= 2)</t>
  </si>
  <si>
    <t>NPS = ((Promoters - Detractors) / Total Responses) * 100</t>
  </si>
  <si>
    <t>Resolution Rate Formula:</t>
  </si>
  <si>
    <t>Resolution Rate = (COUNTIF(Issue Resolved = "Yes") / Total Count) * 100</t>
  </si>
  <si>
    <t>Customer ID</t>
  </si>
  <si>
    <t>Date</t>
  </si>
  <si>
    <t>Service Rating</t>
  </si>
  <si>
    <t>Feedback Category</t>
  </si>
  <si>
    <t>Response Time (hours)</t>
  </si>
  <si>
    <t>Issue Resolved</t>
  </si>
  <si>
    <t>C1000</t>
  </si>
  <si>
    <t>Website</t>
  </si>
  <si>
    <t>No</t>
  </si>
  <si>
    <t>C1001</t>
  </si>
  <si>
    <t>Billing</t>
  </si>
  <si>
    <t>C1002</t>
  </si>
  <si>
    <t>Service</t>
  </si>
  <si>
    <t>Yes</t>
  </si>
  <si>
    <t>C1003</t>
  </si>
  <si>
    <t>Product</t>
  </si>
  <si>
    <t>C1004</t>
  </si>
  <si>
    <t>C1005</t>
  </si>
  <si>
    <t>C1006</t>
  </si>
  <si>
    <t>C1007</t>
  </si>
  <si>
    <t>C1008</t>
  </si>
  <si>
    <t>C1009</t>
  </si>
  <si>
    <t>C1010</t>
  </si>
  <si>
    <t>C1011</t>
  </si>
  <si>
    <t>C1012</t>
  </si>
  <si>
    <t>C1013</t>
  </si>
  <si>
    <t>C1014</t>
  </si>
  <si>
    <t>C1015</t>
  </si>
  <si>
    <t>C1016</t>
  </si>
  <si>
    <t>C1017</t>
  </si>
  <si>
    <t>Other</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</si>
  <si>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</si>
  <si>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</si>
  <si>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</si>
  <si>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</si>
  <si>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</si>
  <si>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</si>
  <si>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</si>
  <si>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</si>
  <si>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</si>
  <si>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</si>
  <si>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</si>
  <si>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</si>
  <si>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</si>
  <si>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</si>
  <si>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</si>
  <si>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</si>
  <si>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</si>
  <si>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</si>
  <si>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</si>
  <si>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</si>
  <si>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</si>
  <si>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</si>
  <si>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</si>
  <si>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</si>
  <si>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</si>
  <si>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</si>
  <si>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</si>
  <si>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</si>
  <si>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</si>
  <si>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</si>
  <si>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</si>
  <si>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</si>
  <si>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</si>
  <si>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</si>
  <si>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</si>
  <si>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</si>
  <si>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</si>
  <si>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</si>
  <si>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</si>
  <si>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</si>
  <si>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</si>
  <si>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</si>
  <si>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</si>
  <si>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</si>
  <si>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</si>
  <si>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</si>
  <si>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</si>
  <si>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</si>
  <si>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</si>
  <si>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</si>
  <si>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</si>
  <si>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</si>
  <si>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</si>
  <si>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C1071</t>
  </si>
  <si>
    <t>C1072</t>
  </si>
  <si>
    <t>C1073</t>
  </si>
  <si>
    <t>C1074</t>
  </si>
  <si>
    <t>C1075</t>
  </si>
  <si>
    <t>C1076</t>
  </si>
  <si>
    <t>C1077</t>
  </si>
  <si>
    <t>C1078</t>
  </si>
  <si>
    <t>C1079</t>
  </si>
  <si>
    <t>C1080</t>
  </si>
  <si>
    <t>C1081</t>
  </si>
  <si>
    <t>C1082</t>
  </si>
  <si>
    <t>C1083</t>
  </si>
  <si>
    <t>C1084</t>
  </si>
  <si>
    <t>C1085</t>
  </si>
  <si>
    <t>C1086</t>
  </si>
  <si>
    <t>C1087</t>
  </si>
  <si>
    <t>C1088</t>
  </si>
  <si>
    <t>C1089</t>
  </si>
  <si>
    <t>C1090</t>
  </si>
  <si>
    <t>C1091</t>
  </si>
  <si>
    <t>C1092</t>
  </si>
  <si>
    <t>C1093</t>
  </si>
  <si>
    <t>C1094</t>
  </si>
  <si>
    <t>C1095</t>
  </si>
  <si>
    <t>C1096</t>
  </si>
  <si>
    <t>C1097</t>
  </si>
  <si>
    <t>C1098</t>
  </si>
  <si>
    <t>C1099</t>
  </si>
  <si>
    <t>Promoters</t>
  </si>
  <si>
    <t>Detractors</t>
  </si>
  <si>
    <t>NPS Score</t>
  </si>
  <si>
    <t>Resolution Rate</t>
  </si>
  <si>
    <t>Rating</t>
  </si>
  <si>
    <t>count</t>
  </si>
  <si>
    <t>percentage%</t>
  </si>
  <si>
    <t>Category</t>
  </si>
  <si>
    <t>Segment</t>
  </si>
  <si>
    <t>Value</t>
  </si>
  <si>
    <t>Bad (Red)</t>
  </si>
  <si>
    <t>Neutral (Yellow)</t>
  </si>
  <si>
    <t>Good (Green)</t>
  </si>
  <si>
    <t>Pointer</t>
  </si>
  <si>
    <t>End (invisible)</t>
  </si>
  <si>
    <t>Dummy (invisible)</t>
  </si>
  <si>
    <t>Label</t>
  </si>
  <si>
    <t>Remaining</t>
  </si>
  <si>
    <t>Total Scale</t>
  </si>
  <si>
    <t>Resolved</t>
  </si>
  <si>
    <t>Not Resolved</t>
  </si>
  <si>
    <t>Avg Response Time</t>
  </si>
  <si>
    <t>Month</t>
  </si>
  <si>
    <t>Row Labels</t>
  </si>
  <si>
    <t>Grand Total</t>
  </si>
  <si>
    <t>Average of Service Rating</t>
  </si>
  <si>
    <t>NPS</t>
  </si>
  <si>
    <t>Sum of Resolution Rate</t>
  </si>
  <si>
    <t>Sum of NPS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</si>
</sst>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3"/>
      <color theme="1"/>
      <name val="Calibri"/>
    </font>
    <font>
      <sz val="11"/>
      <color theme="1"/>
      <name val="Calibri"/>
    </font>
    <font>
      <b/>
      <sz val="11"/>
      <color rgb="FF000000"/>
      <name val="Calibri"/>
    </font>
    <font>
      <b/>
      <sz val="11"/>
      <color theme="1"/>
      <name val="Calibri"/>
    </font>
    <font>
      <b/>
      <sz val="11"/>
      <color theme="1"/>
      <name val="Calibri"/>
      <scheme val="minor"/>
    </font>
    <font>
      <sz val="11"/>
      <color theme="1"/>
      <name val="Calibri"/>
      <scheme val="minor"/>
    </font>
    <font>
      <b/>
      <sz val="11"/>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12">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8">
    <xf numFmtId="0" fontId="0" fillId="0" borderId="0" xfId="0"/>
    <xf numFmtId="0" fontId="1" fillId="0" borderId="1" xfId="0" applyFont="1" applyBorder="1" applyAlignment="1">
      <alignment vertical="center"/>
    </xf>
    <xf numFmtId="0" fontId="2" fillId="0" borderId="1" xfId="0" applyFont="1" applyBorder="1" applyAlignment="1">
      <alignment wrapText="1"/>
    </xf>
    <xf numFmtId="0" fontId="3" fillId="0" borderId="1" xfId="0" applyFont="1" applyBorder="1" applyAlignment="1">
      <alignment vertical="center"/>
    </xf>
    <xf numFmtId="0" fontId="2" fillId="0" borderId="1" xfId="0" applyFont="1" applyBorder="1" applyAlignment="1">
      <alignment vertical="center" wrapText="1"/>
    </xf>
    <xf numFmtId="0" fontId="3" fillId="0" borderId="1" xfId="0" applyFont="1" applyBorder="1" applyAlignment="1">
      <alignment vertical="center" wrapText="1"/>
    </xf>
    <xf numFmtId="0" fontId="5" fillId="0" borderId="0" xfId="0" applyFont="1"/>
    <xf numFmtId="0" fontId="6" fillId="0" borderId="0" xfId="0" applyFont="1"/>
    <xf numFmtId="14" fontId="0" fillId="0" borderId="0" xfId="0" applyNumberFormat="1"/>
    <xf numFmtId="0" fontId="7" fillId="0" borderId="0" xfId="0" applyFont="1"/>
    <xf numFmtId="0" fontId="7" fillId="0" borderId="0" xfId="0" applyFont="1" applyAlignment="1">
      <alignment horizontal="center" vertical="center" wrapText="1"/>
    </xf>
    <xf numFmtId="0" fontId="0" fillId="0" borderId="0" xfId="0" applyAlignment="1">
      <alignment vertical="center" wrapText="1"/>
    </xf>
    <xf numFmtId="0" fontId="7" fillId="0" borderId="2" xfId="0" applyFont="1" applyBorder="1" applyAlignment="1">
      <alignment horizontal="center" vertical="center" wrapText="1"/>
    </xf>
    <xf numFmtId="0" fontId="0" fillId="0" borderId="2" xfId="0" applyBorder="1" applyAlignment="1">
      <alignment vertical="center"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pivotButton="1"/>
    <xf numFmtId="0" fontId="0" fillId="0" borderId="0" xfId="0" applyAlignment="1">
      <alignment horizontal="left"/>
    </xf>
    <xf numFmtId="0" fontId="0" fillId="0" borderId="2" xfId="0" applyBorder="1"/>
    <xf numFmtId="0" fontId="7" fillId="0" borderId="2" xfId="0" applyFont="1" applyBorder="1"/>
    <xf numFmtId="0" fontId="0" fillId="2" borderId="0" xfId="0" applyFill="1"/>
  </cellXfs>
  <cellStyles count="1">
    <cellStyle name="Normal" xfId="0" builtinId="0"/>
  </cellStyles>
  <dxfs count="1">
    <dxf>
      <numFmt numFmtId="19" formatCode="dd/mm/yyyy"/>
    </dxf>
  </dxfs>
  <tableStyles count="0" defaultTableStyle="TableStyleMedium2" defaultPivotStyle="PivotStyleLight16"/>
  <colors>
    <mruColors>
      <color rgb="FF6E7F31"/>
      <color rgb="FF72EE7B"/>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'Feedback Category'!$B$1</c:f>
              <c:strCache>
                <c:ptCount val="1"/>
                <c:pt idx="0">
                  <c:v>count</c:v>
                </c:pt>
              </c:strCache>
            </c:strRef>
          </c:tx>
          <c:dPt>
            <c:idx val="0"/>
            <c:bubble3D val="0"/>
            <c:spPr>
              <a:solidFill>
                <a:schemeClr val="accent6">
                  <a:tint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3F8-4D12-84BD-0D9A47E9AD80}"/>
              </c:ext>
            </c:extLst>
          </c:dPt>
          <c:dPt>
            <c:idx val="1"/>
            <c:bubble3D val="0"/>
            <c:spPr>
              <a:solidFill>
                <a:schemeClr val="accent6">
                  <a:tint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3F8-4D12-84BD-0D9A47E9AD80}"/>
              </c:ext>
            </c:extLst>
          </c:dPt>
          <c:dPt>
            <c:idx val="2"/>
            <c:bubble3D val="0"/>
            <c:spPr>
              <a:solidFill>
                <a:schemeClr val="accent6">
                  <a:tint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3F8-4D12-84BD-0D9A47E9AD80}"/>
              </c:ext>
            </c:extLst>
          </c:dPt>
          <c:dPt>
            <c:idx val="3"/>
            <c:bubble3D val="0"/>
            <c:spPr>
              <a:solidFill>
                <a:schemeClr val="accent6">
                  <a:shade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3F8-4D12-84BD-0D9A47E9AD80}"/>
              </c:ext>
            </c:extLst>
          </c:dPt>
          <c:dPt>
            <c:idx val="4"/>
            <c:bubble3D val="0"/>
            <c:spPr>
              <a:solidFill>
                <a:schemeClr val="accent6">
                  <a:shade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3F8-4D12-84BD-0D9A47E9AD80}"/>
              </c:ext>
            </c:extLst>
          </c:dPt>
          <c:dPt>
            <c:idx val="5"/>
            <c:bubble3D val="0"/>
            <c:spPr>
              <a:solidFill>
                <a:schemeClr val="accent6">
                  <a:shade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03F8-4D12-84BD-0D9A47E9AD80}"/>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'Feedback Category'!$A$2:$A$7</c:f>
              <c:strCache>
                <c:ptCount val="6"/>
                <c:pt idx="0">
                  <c:v>Website</c:v>
                </c:pt>
                <c:pt idx="1">
                  <c:v>Billing</c:v>
                </c:pt>
                <c:pt idx="2">
                  <c:v>Service</c:v>
                </c:pt>
                <c:pt idx="3">
                  <c:v>Product</c:v>
                </c:pt>
                <c:pt idx="4">
                  <c:v>Service</c:v>
                </c:pt>
                <c:pt idx="5">
                  <c:v>Other</c:v>
                </c:pt>
              </c:strCache>
            </c:strRef>
          </c:cat>
          <c:val>
            <c:numRef>
              <c:f>'Feedback Category'!$B$2:$B$7</c:f>
              <c:numCache>
                <c:formatCode>General</c:formatCode>
                <c:ptCount val="6"/>
                <c:pt idx="0">
                  <c:v>17</c:v>
                </c:pt>
                <c:pt idx="1">
                  <c:v>22</c:v>
                </c:pt>
                <c:pt idx="2">
                  <c:v>19</c:v>
                </c:pt>
                <c:pt idx="3">
                  <c:v>24</c:v>
                </c:pt>
                <c:pt idx="4">
                  <c:v>19</c:v>
                </c:pt>
                <c:pt idx="5">
                  <c:v>18</c:v>
                </c:pt>
              </c:numCache>
            </c:numRef>
          </c:val>
          <c:extLst>
            <c:ext xmlns:c16="http://schemas.microsoft.com/office/drawing/2014/chart" uri="{C3380CC4-5D6E-409C-BE32-E72D297353CC}">
              <c16:uniqueId val="{00000000-5F5F-40C8-8167-5E2310496946}"/>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lgn="ctr">
              <a:defRPr sz="1600" b="0" i="0" u="none" strike="noStrike" kern="1200" cap="none" spc="0" normalizeH="0" baseline="0">
                <a:solidFill>
                  <a:schemeClr val="tx1">
                    <a:lumMod val="65000"/>
                    <a:lumOff val="35000"/>
                  </a:schemeClr>
                </a:solidFill>
                <a:latin typeface="+mj-lt"/>
                <a:ea typeface="+mj-ea"/>
                <a:cs typeface="+mj-cs"/>
              </a:defRPr>
            </a:pPr>
            <a:r>
              <a:rPr lang="en-IN" sz="1600"/>
              <a:t>Average Response</a:t>
            </a:r>
            <a:r>
              <a:rPr lang="en-IN" sz="1600" baseline="0"/>
              <a:t> Time</a:t>
            </a:r>
            <a:r>
              <a:rPr lang="en-IN" sz="1600"/>
              <a:t> by Category</a:t>
            </a:r>
          </a:p>
        </c:rich>
      </c:tx>
      <c:layout>
        <c:manualLayout>
          <c:xMode val="edge"/>
          <c:yMode val="edge"/>
          <c:x val="0.19667344706911638"/>
          <c:y val="4.6296296296296294E-2"/>
        </c:manualLayout>
      </c:layout>
      <c:overlay val="0"/>
      <c:spPr>
        <a:solidFill>
          <a:schemeClr val="bg1"/>
        </a:solidFill>
        <a:ln>
          <a:noFill/>
        </a:ln>
        <a:effectLst/>
      </c:spPr>
      <c:txPr>
        <a:bodyPr rot="0" spcFirstLastPara="1" vertOverflow="ellipsis" vert="horz" wrap="square" anchor="ctr" anchorCtr="1"/>
        <a:lstStyle/>
        <a:p>
          <a:pPr algn="ctr">
            <a:defRPr sz="16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'Response Time Charts'!$A$2</c:f>
              <c:strCache>
                <c:ptCount val="1"/>
                <c:pt idx="0">
                  <c:v>Billing</c:v>
                </c:pt>
              </c:strCache>
            </c:strRef>
          </c:tx>
          <c:spPr>
            <a:solidFill>
              <a:schemeClr val="accent5">
                <a:tint val="54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'Response Time Charts'!$B$1</c:f>
              <c:strCache>
                <c:ptCount val="1"/>
                <c:pt idx="0">
                  <c:v>Avg Response Time</c:v>
                </c:pt>
              </c:strCache>
            </c:strRef>
          </c:cat>
          <c:val>
            <c:numRef>
              <c:f>'Response Time Charts'!$B$2</c:f>
              <c:numCache>
                <c:formatCode>General</c:formatCode>
                <c:ptCount val="1"/>
                <c:pt idx="0">
                  <c:v>41.177272727272729</c:v>
                </c:pt>
              </c:numCache>
            </c:numRef>
          </c:val>
          <c:extLst>
            <c:ext xmlns:c16="http://schemas.microsoft.com/office/drawing/2014/chart" uri="{C3380CC4-5D6E-409C-BE32-E72D297353CC}">
              <c16:uniqueId val="{00000000-405D-4CC2-A173-985EA6B48530}"/>
            </c:ext>
          </c:extLst>
        </c:ser>
        <c:ser>
          <c:idx val="1"/>
          <c:order val="1"/>
          <c:tx>
            <c:strRef>
              <c:f>'Response Time Charts'!$A$3</c:f>
              <c:strCache>
                <c:ptCount val="1"/>
                <c:pt idx="0">
                  <c:v>Service</c:v>
                </c:pt>
              </c:strCache>
            </c:strRef>
          </c:tx>
          <c:spPr>
            <a:solidFill>
              <a:schemeClr val="accent5">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'Response Time Charts'!$B$1</c:f>
              <c:strCache>
                <c:ptCount val="1"/>
                <c:pt idx="0">
                  <c:v>Avg Response Time</c:v>
                </c:pt>
              </c:strCache>
            </c:strRef>
          </c:cat>
          <c:val>
            <c:numRef>
              <c:f>'Response Time Charts'!$B$3</c:f>
              <c:numCache>
                <c:formatCode>General</c:formatCode>
                <c:ptCount val="1"/>
                <c:pt idx="0">
                  <c:v>43.368421052631575</c:v>
                </c:pt>
              </c:numCache>
            </c:numRef>
          </c:val>
          <c:extLst>
            <c:ext xmlns:c16="http://schemas.microsoft.com/office/drawing/2014/chart" uri="{C3380CC4-5D6E-409C-BE32-E72D297353CC}">
              <c16:uniqueId val="{00000001-405D-4CC2-A173-985EA6B48530}"/>
            </c:ext>
          </c:extLst>
        </c:ser>
        <c:ser>
          <c:idx val="2"/>
          <c:order val="2"/>
          <c:tx>
            <c:strRef>
              <c:f>'Response Time Charts'!$A$4</c:f>
              <c:strCache>
                <c:ptCount val="1"/>
                <c:pt idx="0">
                  <c:v>Product</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'Response Time Charts'!$B$1</c:f>
              <c:strCache>
                <c:ptCount val="1"/>
                <c:pt idx="0">
                  <c:v>Avg Response Time</c:v>
                </c:pt>
              </c:strCache>
            </c:strRef>
          </c:cat>
          <c:val>
            <c:numRef>
              <c:f>'Response Time Charts'!$B$4</c:f>
              <c:numCache>
                <c:formatCode>General</c:formatCode>
                <c:ptCount val="1"/>
                <c:pt idx="0">
                  <c:v>39.783333333333324</c:v>
                </c:pt>
              </c:numCache>
            </c:numRef>
          </c:val>
          <c:extLst>
            <c:ext xmlns:c16="http://schemas.microsoft.com/office/drawing/2014/chart" uri="{C3380CC4-5D6E-409C-BE32-E72D297353CC}">
              <c16:uniqueId val="{00000002-405D-4CC2-A173-985EA6B48530}"/>
            </c:ext>
          </c:extLst>
        </c:ser>
        <c:ser>
          <c:idx val="3"/>
          <c:order val="3"/>
          <c:tx>
            <c:strRef>
              <c:f>'Response Time Charts'!$A$5</c:f>
              <c:strCache>
                <c:ptCount val="1"/>
                <c:pt idx="0">
                  <c:v>Website</c:v>
                </c:pt>
              </c:strCache>
            </c:strRef>
          </c:tx>
          <c:spPr>
            <a:solidFill>
              <a:schemeClr val="accent5">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'Response Time Charts'!$B$1</c:f>
              <c:strCache>
                <c:ptCount val="1"/>
                <c:pt idx="0">
                  <c:v>Avg Response Time</c:v>
                </c:pt>
              </c:strCache>
            </c:strRef>
          </c:cat>
          <c:val>
            <c:numRef>
              <c:f>'Response Time Charts'!$B$5</c:f>
              <c:numCache>
                <c:formatCode>General</c:formatCode>
                <c:ptCount val="1"/>
                <c:pt idx="0">
                  <c:v>46.374999999999993</c:v>
                </c:pt>
              </c:numCache>
            </c:numRef>
          </c:val>
          <c:extLst>
            <c:ext xmlns:c16="http://schemas.microsoft.com/office/drawing/2014/chart" uri="{C3380CC4-5D6E-409C-BE32-E72D297353CC}">
              <c16:uniqueId val="{00000003-405D-4CC2-A173-985EA6B48530}"/>
            </c:ext>
          </c:extLst>
        </c:ser>
        <c:ser>
          <c:idx val="4"/>
          <c:order val="4"/>
          <c:tx>
            <c:strRef>
              <c:f>'Response Time Charts'!$A$6</c:f>
              <c:strCache>
                <c:ptCount val="1"/>
                <c:pt idx="0">
                  <c:v>Other</c:v>
                </c:pt>
              </c:strCache>
            </c:strRef>
          </c:tx>
          <c:spPr>
            <a:solidFill>
              <a:schemeClr val="accent5">
                <a:shade val="53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'Response Time Charts'!$B$1</c:f>
              <c:strCache>
                <c:ptCount val="1"/>
                <c:pt idx="0">
                  <c:v>Avg Response Time</c:v>
                </c:pt>
              </c:strCache>
            </c:strRef>
          </c:cat>
          <c:val>
            <c:numRef>
              <c:f>'Response Time Charts'!$B$6</c:f>
              <c:numCache>
                <c:formatCode>General</c:formatCode>
                <c:ptCount val="1"/>
                <c:pt idx="0">
                  <c:v>38.883333333333333</c:v>
                </c:pt>
              </c:numCache>
            </c:numRef>
          </c:val>
          <c:extLst>
            <c:ext xmlns:c16="http://schemas.microsoft.com/office/drawing/2014/chart" uri="{C3380CC4-5D6E-409C-BE32-E72D297353CC}">
              <c16:uniqueId val="{00000004-405D-4CC2-A173-985EA6B48530}"/>
            </c:ext>
          </c:extLst>
        </c:ser>
        <c:dLbls>
          <c:showLegendKey val="0"/>
          <c:showVal val="1"/>
          <c:showCatName val="0"/>
          <c:showSerName val="0"/>
          <c:showPercent val="0"/>
          <c:showBubbleSize val="0"/>
        </c:dLbls>
        <c:gapWidth val="150"/>
        <c:shape val="box"/>
        <c:axId val="1806513712"/>
        <c:axId val="1806517072"/>
        <c:axId val="0"/>
      </c:bar3DChart>
      <c:catAx>
        <c:axId val="1806513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806517072"/>
        <c:crosses val="autoZero"/>
        <c:auto val="1"/>
        <c:lblAlgn val="ctr"/>
        <c:lblOffset val="100"/>
        <c:noMultiLvlLbl val="0"/>
      </c:catAx>
      <c:valAx>
        <c:axId val="1806517072"/>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513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Response Time vs Satisfaction</a:t>
            </a:r>
            <a:endParaRPr lang="en-IN"/>
          </a:p>
        </c:rich>
      </c:tx>
      <c:layout>
        <c:manualLayout>
          <c:xMode val="edge"/>
          <c:yMode val="edge"/>
          <c:x val="0.20250000000000001"/>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dataset!$E$1</c:f>
              <c:strCache>
                <c:ptCount val="1"/>
                <c:pt idx="0">
                  <c:v>Response Time (hours)</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cap="rnd">
                <a:solidFill>
                  <a:schemeClr val="dk1">
                    <a:tint val="88500"/>
                  </a:schemeClr>
                </a:solidFill>
                <a:round/>
              </a:ln>
              <a:effectLst>
                <a:outerShdw blurRad="57150" dist="19050" dir="5400000" algn="ctr" rotWithShape="0">
                  <a:srgbClr val="000000">
                    <a:alpha val="63000"/>
                  </a:srgbClr>
                </a:outerShdw>
              </a:effectLst>
            </c:spPr>
          </c:marker>
          <c:yVal>
            <c:numRef>
              <c:f>dataset!$E$2:$E$101</c:f>
              <c:numCache>
                <c:formatCode>General</c:formatCode>
                <c:ptCount val="100"/>
                <c:pt idx="0">
                  <c:v>24.8</c:v>
                </c:pt>
                <c:pt idx="1">
                  <c:v>59.6</c:v>
                </c:pt>
                <c:pt idx="2">
                  <c:v>26.8</c:v>
                </c:pt>
                <c:pt idx="3">
                  <c:v>3.4</c:v>
                </c:pt>
                <c:pt idx="4">
                  <c:v>60</c:v>
                </c:pt>
                <c:pt idx="5">
                  <c:v>25.5</c:v>
                </c:pt>
                <c:pt idx="6">
                  <c:v>55.9</c:v>
                </c:pt>
                <c:pt idx="7">
                  <c:v>26.8</c:v>
                </c:pt>
                <c:pt idx="8">
                  <c:v>62.1</c:v>
                </c:pt>
                <c:pt idx="9">
                  <c:v>16.600000000000001</c:v>
                </c:pt>
                <c:pt idx="10">
                  <c:v>70.2</c:v>
                </c:pt>
                <c:pt idx="11">
                  <c:v>56.4</c:v>
                </c:pt>
                <c:pt idx="12">
                  <c:v>9.1</c:v>
                </c:pt>
                <c:pt idx="13">
                  <c:v>41.2</c:v>
                </c:pt>
                <c:pt idx="14">
                  <c:v>71</c:v>
                </c:pt>
                <c:pt idx="15">
                  <c:v>34.4</c:v>
                </c:pt>
                <c:pt idx="16">
                  <c:v>13.9</c:v>
                </c:pt>
                <c:pt idx="17">
                  <c:v>35.4</c:v>
                </c:pt>
                <c:pt idx="18">
                  <c:v>37.4</c:v>
                </c:pt>
                <c:pt idx="19">
                  <c:v>53.7</c:v>
                </c:pt>
                <c:pt idx="20">
                  <c:v>50.6</c:v>
                </c:pt>
                <c:pt idx="21">
                  <c:v>29.6</c:v>
                </c:pt>
                <c:pt idx="22">
                  <c:v>16.5</c:v>
                </c:pt>
                <c:pt idx="23">
                  <c:v>46.8</c:v>
                </c:pt>
                <c:pt idx="24">
                  <c:v>30.9</c:v>
                </c:pt>
                <c:pt idx="25">
                  <c:v>10.4</c:v>
                </c:pt>
                <c:pt idx="26">
                  <c:v>64.900000000000006</c:v>
                </c:pt>
                <c:pt idx="27">
                  <c:v>50.1</c:v>
                </c:pt>
                <c:pt idx="28">
                  <c:v>49.5</c:v>
                </c:pt>
                <c:pt idx="29">
                  <c:v>59.4</c:v>
                </c:pt>
                <c:pt idx="30">
                  <c:v>38.6</c:v>
                </c:pt>
                <c:pt idx="31">
                  <c:v>58.9</c:v>
                </c:pt>
                <c:pt idx="32">
                  <c:v>36.4</c:v>
                </c:pt>
                <c:pt idx="33">
                  <c:v>5.8</c:v>
                </c:pt>
                <c:pt idx="34">
                  <c:v>29.8</c:v>
                </c:pt>
                <c:pt idx="35">
                  <c:v>36.299999999999997</c:v>
                </c:pt>
                <c:pt idx="36">
                  <c:v>52.1</c:v>
                </c:pt>
                <c:pt idx="37">
                  <c:v>8.6</c:v>
                </c:pt>
                <c:pt idx="38">
                  <c:v>10.9</c:v>
                </c:pt>
                <c:pt idx="39">
                  <c:v>19.7</c:v>
                </c:pt>
                <c:pt idx="40">
                  <c:v>19.899999999999999</c:v>
                </c:pt>
                <c:pt idx="41">
                  <c:v>53</c:v>
                </c:pt>
                <c:pt idx="42">
                  <c:v>18.8</c:v>
                </c:pt>
                <c:pt idx="43">
                  <c:v>45.9</c:v>
                </c:pt>
                <c:pt idx="44">
                  <c:v>36.1</c:v>
                </c:pt>
                <c:pt idx="45">
                  <c:v>41.7</c:v>
                </c:pt>
                <c:pt idx="46">
                  <c:v>60.5</c:v>
                </c:pt>
                <c:pt idx="47">
                  <c:v>29.7</c:v>
                </c:pt>
                <c:pt idx="48">
                  <c:v>55.7</c:v>
                </c:pt>
                <c:pt idx="49">
                  <c:v>31</c:v>
                </c:pt>
                <c:pt idx="50">
                  <c:v>26.1</c:v>
                </c:pt>
                <c:pt idx="51">
                  <c:v>69.099999999999994</c:v>
                </c:pt>
                <c:pt idx="52">
                  <c:v>14.1</c:v>
                </c:pt>
                <c:pt idx="53">
                  <c:v>7.4</c:v>
                </c:pt>
                <c:pt idx="54">
                  <c:v>55.7</c:v>
                </c:pt>
                <c:pt idx="55">
                  <c:v>5.8</c:v>
                </c:pt>
                <c:pt idx="56">
                  <c:v>60.4</c:v>
                </c:pt>
                <c:pt idx="57">
                  <c:v>32</c:v>
                </c:pt>
                <c:pt idx="58">
                  <c:v>66</c:v>
                </c:pt>
                <c:pt idx="59">
                  <c:v>52.2</c:v>
                </c:pt>
                <c:pt idx="60">
                  <c:v>44.3</c:v>
                </c:pt>
                <c:pt idx="61">
                  <c:v>68.400000000000006</c:v>
                </c:pt>
                <c:pt idx="62">
                  <c:v>29.2</c:v>
                </c:pt>
                <c:pt idx="63">
                  <c:v>68.7</c:v>
                </c:pt>
                <c:pt idx="64">
                  <c:v>10.6</c:v>
                </c:pt>
                <c:pt idx="65">
                  <c:v>35.299999999999997</c:v>
                </c:pt>
                <c:pt idx="66">
                  <c:v>20.2</c:v>
                </c:pt>
                <c:pt idx="67">
                  <c:v>39.299999999999997</c:v>
                </c:pt>
                <c:pt idx="68">
                  <c:v>12.5</c:v>
                </c:pt>
                <c:pt idx="69">
                  <c:v>60.7</c:v>
                </c:pt>
                <c:pt idx="70">
                  <c:v>61.1</c:v>
                </c:pt>
                <c:pt idx="71">
                  <c:v>68.8</c:v>
                </c:pt>
                <c:pt idx="72">
                  <c:v>12</c:v>
                </c:pt>
                <c:pt idx="73">
                  <c:v>45.3</c:v>
                </c:pt>
                <c:pt idx="74">
                  <c:v>34.700000000000003</c:v>
                </c:pt>
                <c:pt idx="75">
                  <c:v>25.5</c:v>
                </c:pt>
                <c:pt idx="76">
                  <c:v>26</c:v>
                </c:pt>
                <c:pt idx="77">
                  <c:v>30.3</c:v>
                </c:pt>
                <c:pt idx="78">
                  <c:v>51</c:v>
                </c:pt>
                <c:pt idx="79">
                  <c:v>43.5</c:v>
                </c:pt>
                <c:pt idx="80">
                  <c:v>33.6</c:v>
                </c:pt>
                <c:pt idx="81">
                  <c:v>6.4</c:v>
                </c:pt>
                <c:pt idx="82">
                  <c:v>6.5</c:v>
                </c:pt>
                <c:pt idx="83">
                  <c:v>1.2</c:v>
                </c:pt>
                <c:pt idx="84">
                  <c:v>69.7</c:v>
                </c:pt>
                <c:pt idx="85">
                  <c:v>1.4</c:v>
                </c:pt>
                <c:pt idx="86">
                  <c:v>8.3000000000000007</c:v>
                </c:pt>
                <c:pt idx="87">
                  <c:v>23.3</c:v>
                </c:pt>
                <c:pt idx="88">
                  <c:v>58.3</c:v>
                </c:pt>
                <c:pt idx="89">
                  <c:v>69.3</c:v>
                </c:pt>
                <c:pt idx="90">
                  <c:v>57.1</c:v>
                </c:pt>
                <c:pt idx="91">
                  <c:v>50</c:v>
                </c:pt>
                <c:pt idx="92">
                  <c:v>38</c:v>
                </c:pt>
                <c:pt idx="93">
                  <c:v>7.2</c:v>
                </c:pt>
                <c:pt idx="94">
                  <c:v>69</c:v>
                </c:pt>
                <c:pt idx="95">
                  <c:v>54.8</c:v>
                </c:pt>
                <c:pt idx="96">
                  <c:v>46.4</c:v>
                </c:pt>
                <c:pt idx="97">
                  <c:v>54.9</c:v>
                </c:pt>
                <c:pt idx="98">
                  <c:v>52.4</c:v>
                </c:pt>
                <c:pt idx="99">
                  <c:v>46.2</c:v>
                </c:pt>
              </c:numCache>
            </c:numRef>
          </c:yVal>
          <c:smooth val="0"/>
          <c:extLst>
            <c:ext xmlns:c16="http://schemas.microsoft.com/office/drawing/2014/chart" uri="{C3380CC4-5D6E-409C-BE32-E72D297353CC}">
              <c16:uniqueId val="{00000000-EBC0-495C-9267-4D0544591CBD}"/>
            </c:ext>
          </c:extLst>
        </c:ser>
        <c:ser>
          <c:idx val="1"/>
          <c:order val="1"/>
          <c:tx>
            <c:strRef>
              <c:f>dataset!$C$1</c:f>
              <c:strCache>
                <c:ptCount val="1"/>
                <c:pt idx="0">
                  <c:v>Service Rating</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w="9525" cap="rnd">
                <a:solidFill>
                  <a:schemeClr val="dk1">
                    <a:tint val="55000"/>
                  </a:schemeClr>
                </a:solidFill>
                <a:round/>
              </a:ln>
              <a:effectLst>
                <a:outerShdw blurRad="57150" dist="19050" dir="5400000" algn="ctr" rotWithShape="0">
                  <a:srgbClr val="000000">
                    <a:alpha val="63000"/>
                  </a:srgbClr>
                </a:outerShdw>
              </a:effectLst>
            </c:spPr>
          </c:marker>
          <c:xVal>
            <c:strRef>
              <c:f>dataset!$C:$C</c:f>
              <c:strCache>
                <c:ptCount val="101"/>
                <c:pt idx="0">
                  <c:v>Service Rating</c:v>
                </c:pt>
                <c:pt idx="1">
                  <c:v>5</c:v>
                </c:pt>
                <c:pt idx="2">
                  <c:v>1</c:v>
                </c:pt>
                <c:pt idx="3">
                  <c:v>1</c:v>
                </c:pt>
                <c:pt idx="4">
                  <c:v>1</c:v>
                </c:pt>
                <c:pt idx="5">
                  <c:v>1</c:v>
                </c:pt>
                <c:pt idx="6">
                  <c:v>1</c:v>
                </c:pt>
                <c:pt idx="7">
                  <c:v>2</c:v>
                </c:pt>
                <c:pt idx="8">
                  <c:v>5</c:v>
                </c:pt>
                <c:pt idx="9">
                  <c:v>3</c:v>
                </c:pt>
                <c:pt idx="10">
                  <c:v>3</c:v>
                </c:pt>
                <c:pt idx="11">
                  <c:v>3</c:v>
                </c:pt>
                <c:pt idx="12">
                  <c:v>3</c:v>
                </c:pt>
                <c:pt idx="13">
                  <c:v>2</c:v>
                </c:pt>
                <c:pt idx="14">
                  <c:v>4</c:v>
                </c:pt>
                <c:pt idx="15">
                  <c:v>5</c:v>
                </c:pt>
                <c:pt idx="16">
                  <c:v>1</c:v>
                </c:pt>
                <c:pt idx="17">
                  <c:v>4</c:v>
                </c:pt>
                <c:pt idx="18">
                  <c:v>3</c:v>
                </c:pt>
                <c:pt idx="19">
                  <c:v>4</c:v>
                </c:pt>
                <c:pt idx="20">
                  <c:v>5</c:v>
                </c:pt>
                <c:pt idx="21">
                  <c:v>1</c:v>
                </c:pt>
                <c:pt idx="22">
                  <c:v>1</c:v>
                </c:pt>
                <c:pt idx="23">
                  <c:v>5</c:v>
                </c:pt>
                <c:pt idx="24">
                  <c:v>5</c:v>
                </c:pt>
                <c:pt idx="25">
                  <c:v>3</c:v>
                </c:pt>
                <c:pt idx="26">
                  <c:v>1</c:v>
                </c:pt>
                <c:pt idx="27">
                  <c:v>4</c:v>
                </c:pt>
                <c:pt idx="28">
                  <c:v>2</c:v>
                </c:pt>
                <c:pt idx="29">
                  <c:v>2</c:v>
                </c:pt>
                <c:pt idx="30">
                  <c:v>5</c:v>
                </c:pt>
                <c:pt idx="31">
                  <c:v>3</c:v>
                </c:pt>
                <c:pt idx="32">
                  <c:v>2</c:v>
                </c:pt>
                <c:pt idx="33">
                  <c:v>1</c:v>
                </c:pt>
                <c:pt idx="34">
                  <c:v>5</c:v>
                </c:pt>
                <c:pt idx="35">
                  <c:v>4</c:v>
                </c:pt>
                <c:pt idx="36">
                  <c:v>5</c:v>
                </c:pt>
                <c:pt idx="37">
                  <c:v>4</c:v>
                </c:pt>
                <c:pt idx="38">
                  <c:v>5</c:v>
                </c:pt>
                <c:pt idx="39">
                  <c:v>5</c:v>
                </c:pt>
                <c:pt idx="40">
                  <c:v>5</c:v>
                </c:pt>
                <c:pt idx="41">
                  <c:v>4</c:v>
                </c:pt>
                <c:pt idx="42">
                  <c:v>4</c:v>
                </c:pt>
                <c:pt idx="43">
                  <c:v>5</c:v>
                </c:pt>
                <c:pt idx="44">
                  <c:v>2</c:v>
                </c:pt>
                <c:pt idx="45">
                  <c:v>3</c:v>
                </c:pt>
                <c:pt idx="46">
                  <c:v>3</c:v>
                </c:pt>
                <c:pt idx="47">
                  <c:v>3</c:v>
                </c:pt>
                <c:pt idx="48">
                  <c:v>4</c:v>
                </c:pt>
                <c:pt idx="49">
                  <c:v>4</c:v>
                </c:pt>
                <c:pt idx="50">
                  <c:v>2</c:v>
                </c:pt>
                <c:pt idx="51">
                  <c:v>3</c:v>
                </c:pt>
                <c:pt idx="52">
                  <c:v>3</c:v>
                </c:pt>
                <c:pt idx="53">
                  <c:v>5</c:v>
                </c:pt>
                <c:pt idx="54">
                  <c:v>4</c:v>
                </c:pt>
                <c:pt idx="55">
                  <c:v>3</c:v>
                </c:pt>
                <c:pt idx="56">
                  <c:v>2</c:v>
                </c:pt>
                <c:pt idx="57">
                  <c:v>2</c:v>
                </c:pt>
                <c:pt idx="58">
                  <c:v>3</c:v>
                </c:pt>
                <c:pt idx="59">
                  <c:v>4</c:v>
                </c:pt>
                <c:pt idx="60">
                  <c:v>2</c:v>
                </c:pt>
                <c:pt idx="61">
                  <c:v>5</c:v>
                </c:pt>
                <c:pt idx="62">
                  <c:v>2</c:v>
                </c:pt>
                <c:pt idx="63">
                  <c:v>1</c:v>
                </c:pt>
                <c:pt idx="64">
                  <c:v>1</c:v>
                </c:pt>
                <c:pt idx="65">
                  <c:v>4</c:v>
                </c:pt>
                <c:pt idx="66">
                  <c:v>3</c:v>
                </c:pt>
                <c:pt idx="67">
                  <c:v>4</c:v>
                </c:pt>
                <c:pt idx="68">
                  <c:v>4</c:v>
                </c:pt>
                <c:pt idx="69">
                  <c:v>4</c:v>
                </c:pt>
                <c:pt idx="70">
                  <c:v>4</c:v>
                </c:pt>
                <c:pt idx="71">
                  <c:v>5</c:v>
                </c:pt>
                <c:pt idx="72">
                  <c:v>5</c:v>
                </c:pt>
                <c:pt idx="73">
                  <c:v>2</c:v>
                </c:pt>
                <c:pt idx="74">
                  <c:v>1</c:v>
                </c:pt>
                <c:pt idx="75">
                  <c:v>4</c:v>
                </c:pt>
                <c:pt idx="76">
                  <c:v>2</c:v>
                </c:pt>
                <c:pt idx="77">
                  <c:v>1</c:v>
                </c:pt>
                <c:pt idx="78">
                  <c:v>3</c:v>
                </c:pt>
                <c:pt idx="79">
                  <c:v>5</c:v>
                </c:pt>
                <c:pt idx="80">
                  <c:v>1</c:v>
                </c:pt>
                <c:pt idx="81">
                  <c:v>3</c:v>
                </c:pt>
                <c:pt idx="82">
                  <c:v>1</c:v>
                </c:pt>
                <c:pt idx="83">
                  <c:v>5</c:v>
                </c:pt>
                <c:pt idx="84">
                  <c:v>5</c:v>
                </c:pt>
                <c:pt idx="85">
                  <c:v>2</c:v>
                </c:pt>
                <c:pt idx="86">
                  <c:v>4</c:v>
                </c:pt>
                <c:pt idx="87">
                  <c:v>1</c:v>
                </c:pt>
                <c:pt idx="88">
                  <c:v>1</c:v>
                </c:pt>
                <c:pt idx="89">
                  <c:v>3</c:v>
                </c:pt>
                <c:pt idx="90">
                  <c:v>5</c:v>
                </c:pt>
                <c:pt idx="91">
                  <c:v>1</c:v>
                </c:pt>
                <c:pt idx="92">
                  <c:v>5</c:v>
                </c:pt>
                <c:pt idx="93">
                  <c:v>1</c:v>
                </c:pt>
                <c:pt idx="94">
                  <c:v>2</c:v>
                </c:pt>
                <c:pt idx="95">
                  <c:v>4</c:v>
                </c:pt>
                <c:pt idx="96">
                  <c:v>1</c:v>
                </c:pt>
                <c:pt idx="97">
                  <c:v>5</c:v>
                </c:pt>
                <c:pt idx="98">
                  <c:v>2</c:v>
                </c:pt>
                <c:pt idx="99">
                  <c:v>1</c:v>
                </c:pt>
                <c:pt idx="100">
                  <c:v>3</c:v>
                </c:pt>
              </c:strCache>
            </c:strRef>
          </c:xVal>
          <c:yVal>
            <c:numLit>
              <c:formatCode>General</c:formatCode>
              <c:ptCount val="1"/>
              <c:pt idx="0">
                <c:v>1</c:v>
              </c:pt>
            </c:numLit>
          </c:yVal>
          <c:smooth val="0"/>
          <c:extLst>
            <c:ext xmlns:c16="http://schemas.microsoft.com/office/drawing/2014/chart" uri="{C3380CC4-5D6E-409C-BE32-E72D297353CC}">
              <c16:uniqueId val="{00000001-EBC0-495C-9267-4D0544591CBD}"/>
            </c:ext>
          </c:extLst>
        </c:ser>
        <c:dLbls>
          <c:showLegendKey val="0"/>
          <c:showVal val="0"/>
          <c:showCatName val="0"/>
          <c:showSerName val="0"/>
          <c:showPercent val="0"/>
          <c:showBubbleSize val="0"/>
        </c:dLbls>
        <c:axId val="1985458944"/>
        <c:axId val="1985463744"/>
      </c:scatterChart>
      <c:valAx>
        <c:axId val="198545894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463744"/>
        <c:crosses val="autoZero"/>
        <c:crossBetween val="midCat"/>
      </c:valAx>
      <c:valAx>
        <c:axId val="1985463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4589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Resolved vs Not Resolved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bar"/>
        <c:grouping val="stacked"/>
        <c:varyColors val="0"/>
        <c:ser>
          <c:idx val="0"/>
          <c:order val="0"/>
          <c:tx>
            <c:strRef>
              <c:f>'Resolution Rate Analysis'!$B$1</c:f>
              <c:strCache>
                <c:ptCount val="1"/>
                <c:pt idx="0">
                  <c:v>Resolved</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'Resolution Rate Analysis'!$A$2:$A$6</c:f>
              <c:strCache>
                <c:ptCount val="5"/>
                <c:pt idx="0">
                  <c:v>Billing</c:v>
                </c:pt>
                <c:pt idx="1">
                  <c:v>Service</c:v>
                </c:pt>
                <c:pt idx="2">
                  <c:v>Product</c:v>
                </c:pt>
                <c:pt idx="3">
                  <c:v>Website</c:v>
                </c:pt>
                <c:pt idx="4">
                  <c:v>Other</c:v>
                </c:pt>
              </c:strCache>
            </c:strRef>
          </c:cat>
          <c:val>
            <c:numRef>
              <c:f>'Resolution Rate Analysis'!$B$2:$B$6</c:f>
              <c:numCache>
                <c:formatCode>General</c:formatCode>
                <c:ptCount val="5"/>
                <c:pt idx="0">
                  <c:v>18</c:v>
                </c:pt>
                <c:pt idx="1">
                  <c:v>16</c:v>
                </c:pt>
                <c:pt idx="2">
                  <c:v>19</c:v>
                </c:pt>
                <c:pt idx="3">
                  <c:v>13</c:v>
                </c:pt>
                <c:pt idx="4">
                  <c:v>14</c:v>
                </c:pt>
              </c:numCache>
            </c:numRef>
          </c:val>
          <c:extLst>
            <c:ext xmlns:c16="http://schemas.microsoft.com/office/drawing/2014/chart" uri="{C3380CC4-5D6E-409C-BE32-E72D297353CC}">
              <c16:uniqueId val="{00000000-7C3B-4C58-BAA7-D4A58B11DE8F}"/>
            </c:ext>
          </c:extLst>
        </c:ser>
        <c:ser>
          <c:idx val="1"/>
          <c:order val="1"/>
          <c:tx>
            <c:strRef>
              <c:f>'Resolution Rate Analysis'!$C$1</c:f>
              <c:strCache>
                <c:ptCount val="1"/>
                <c:pt idx="0">
                  <c:v>Not Resolved</c:v>
                </c:pt>
              </c:strCache>
            </c:strRef>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'Resolution Rate Analysis'!$A$2:$A$6</c:f>
              <c:strCache>
                <c:ptCount val="5"/>
                <c:pt idx="0">
                  <c:v>Billing</c:v>
                </c:pt>
                <c:pt idx="1">
                  <c:v>Service</c:v>
                </c:pt>
                <c:pt idx="2">
                  <c:v>Product</c:v>
                </c:pt>
                <c:pt idx="3">
                  <c:v>Website</c:v>
                </c:pt>
                <c:pt idx="4">
                  <c:v>Other</c:v>
                </c:pt>
              </c:strCache>
            </c:strRef>
          </c:cat>
          <c:val>
            <c:numRef>
              <c:f>'Resolution Rate Analysis'!$C$2:$C$6</c:f>
              <c:numCache>
                <c:formatCode>General</c:formatCode>
                <c:ptCount val="5"/>
                <c:pt idx="0">
                  <c:v>4</c:v>
                </c:pt>
                <c:pt idx="1">
                  <c:v>3</c:v>
                </c:pt>
                <c:pt idx="2">
                  <c:v>5</c:v>
                </c:pt>
                <c:pt idx="3">
                  <c:v>4</c:v>
                </c:pt>
                <c:pt idx="4">
                  <c:v>4</c:v>
                </c:pt>
              </c:numCache>
            </c:numRef>
          </c:val>
          <c:extLst>
            <c:ext xmlns:c16="http://schemas.microsoft.com/office/drawing/2014/chart" uri="{C3380CC4-5D6E-409C-BE32-E72D297353CC}">
              <c16:uniqueId val="{00000001-7C3B-4C58-BAA7-D4A58B11DE8F}"/>
            </c:ext>
          </c:extLst>
        </c:ser>
        <c:dLbls>
          <c:dLblPos val="ctr"/>
          <c:showLegendKey val="0"/>
          <c:showVal val="1"/>
          <c:showCatName val="0"/>
          <c:showSerName val="0"/>
          <c:showPercent val="0"/>
          <c:showBubbleSize val="0"/>
        </c:dLbls>
        <c:gapWidth val="150"/>
        <c:overlap val="100"/>
        <c:axId val="1806522832"/>
        <c:axId val="1806512752"/>
      </c:barChart>
      <c:catAx>
        <c:axId val="180652283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6512752"/>
        <c:crosses val="autoZero"/>
        <c:auto val="1"/>
        <c:lblAlgn val="ctr"/>
        <c:lblOffset val="100"/>
        <c:noMultiLvlLbl val="0"/>
      </c:catAx>
      <c:valAx>
        <c:axId val="1806512752"/>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6522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Resolution Rate by Category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'Resolution Rate Analysis'!$B$13</c:f>
              <c:strCache>
                <c:ptCount val="1"/>
                <c:pt idx="0">
                  <c:v>Resolution Rate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'Resolution Rate Analysis'!$A$14:$A$18</c:f>
              <c:strCache>
                <c:ptCount val="5"/>
                <c:pt idx="0">
                  <c:v>Billing</c:v>
                </c:pt>
                <c:pt idx="1">
                  <c:v>Service</c:v>
                </c:pt>
                <c:pt idx="2">
                  <c:v>Product</c:v>
                </c:pt>
                <c:pt idx="3">
                  <c:v>Website</c:v>
                </c:pt>
                <c:pt idx="4">
                  <c:v>Other</c:v>
                </c:pt>
              </c:strCache>
            </c:strRef>
          </c:cat>
          <c:val>
            <c:numRef>
              <c:f>'Resolution Rate Analysis'!$B$14:$B$18</c:f>
              <c:numCache>
                <c:formatCode>General</c:formatCode>
                <c:ptCount val="5"/>
                <c:pt idx="0">
                  <c:v>80</c:v>
                </c:pt>
              </c:numCache>
            </c:numRef>
          </c:val>
          <c:extLst>
            <c:ext xmlns:c16="http://schemas.microsoft.com/office/drawing/2014/chart" uri="{C3380CC4-5D6E-409C-BE32-E72D297353CC}">
              <c16:uniqueId val="{00000000-E810-41D6-99C2-504566F1AB94}"/>
            </c:ext>
          </c:extLst>
        </c:ser>
        <c:dLbls>
          <c:dLblPos val="ctr"/>
          <c:showLegendKey val="0"/>
          <c:showVal val="1"/>
          <c:showCatName val="0"/>
          <c:showSerName val="0"/>
          <c:showPercent val="0"/>
          <c:showBubbleSize val="0"/>
        </c:dLbls>
        <c:gapWidth val="79"/>
        <c:overlap val="100"/>
        <c:axId val="1866852640"/>
        <c:axId val="1866854080"/>
      </c:barChart>
      <c:catAx>
        <c:axId val="1866852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66854080"/>
        <c:crosses val="autoZero"/>
        <c:auto val="1"/>
        <c:lblAlgn val="ctr"/>
        <c:lblOffset val="100"/>
        <c:noMultiLvlLbl val="0"/>
      </c:catAx>
      <c:valAx>
        <c:axId val="1866854080"/>
        <c:scaling>
          <c:orientation val="minMax"/>
        </c:scaling>
        <c:delete val="1"/>
        <c:axPos val="b"/>
        <c:numFmt formatCode="General" sourceLinked="1"/>
        <c:majorTickMark val="none"/>
        <c:minorTickMark val="none"/>
        <c:tickLblPos val="nextTo"/>
        <c:crossAx val="186685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Service</a:t>
            </a:r>
            <a:r>
              <a:rPr lang="en-IN" sz="1600" b="1" baseline="0"/>
              <a:t> Rating</a:t>
            </a:r>
            <a:endParaRPr lang="en-IN" sz="1600" b="1"/>
          </a:p>
        </c:rich>
      </c:tx>
      <c:layout>
        <c:manualLayout>
          <c:xMode val="edge"/>
          <c:yMode val="edge"/>
          <c:x val="0.37774300087489066"/>
          <c:y val="2.7777777777777776E-2"/>
        </c:manualLayout>
      </c:layout>
      <c:overlay val="0"/>
      <c:spPr>
        <a:solidFill>
          <a:schemeClr val="accent5">
            <a:lumMod val="40000"/>
            <a:lumOff val="60000"/>
          </a:schemeClr>
        </a:solid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'servive rating distribution'!$A$1</c:f>
              <c:strCache>
                <c:ptCount val="1"/>
                <c:pt idx="0">
                  <c:v>Rating</c:v>
                </c:pt>
              </c:strCache>
            </c:strRef>
          </c:tx>
          <c:spPr>
            <a:solidFill>
              <a:schemeClr val="accent1"/>
            </a:solidFill>
            <a:ln>
              <a:noFill/>
            </a:ln>
            <a:effectLst/>
          </c:spPr>
          <c:invertIfNegative val="0"/>
          <c:val>
            <c:numRef>
              <c:f>'servive rating distribution'!$A$2:$A$6</c:f>
              <c:numCache>
                <c:formatCode>General</c:formatCode>
                <c:ptCount val="5"/>
                <c:pt idx="0">
                  <c:v>1</c:v>
                </c:pt>
                <c:pt idx="1">
                  <c:v>2</c:v>
                </c:pt>
                <c:pt idx="2">
                  <c:v>3</c:v>
                </c:pt>
                <c:pt idx="3">
                  <c:v>4</c:v>
                </c:pt>
                <c:pt idx="4">
                  <c:v>5</c:v>
                </c:pt>
              </c:numCache>
            </c:numRef>
          </c:val>
          <c:extLst>
            <c:ext xmlns:c16="http://schemas.microsoft.com/office/drawing/2014/chart" uri="{C3380CC4-5D6E-409C-BE32-E72D297353CC}">
              <c16:uniqueId val="{00000000-172A-4F48-8C1B-83753DA73CFB}"/>
            </c:ext>
          </c:extLst>
        </c:ser>
        <c:ser>
          <c:idx val="1"/>
          <c:order val="1"/>
          <c:tx>
            <c:strRef>
              <c:f>'servive rating distribution'!$B$1</c:f>
              <c:strCache>
                <c:ptCount val="1"/>
                <c:pt idx="0">
                  <c:v>count</c:v>
                </c:pt>
              </c:strCache>
            </c:strRef>
          </c:tx>
          <c:spPr>
            <a:solidFill>
              <a:schemeClr val="accent2"/>
            </a:solidFill>
            <a:ln>
              <a:noFill/>
            </a:ln>
            <a:effectLst/>
          </c:spPr>
          <c:invertIfNegative val="0"/>
          <c:val>
            <c:numRef>
              <c:f>'servive rating distribution'!$B$2:$B$6</c:f>
              <c:numCache>
                <c:formatCode>General</c:formatCode>
                <c:ptCount val="5"/>
                <c:pt idx="0">
                  <c:v>22</c:v>
                </c:pt>
                <c:pt idx="1">
                  <c:v>16</c:v>
                </c:pt>
                <c:pt idx="2">
                  <c:v>19</c:v>
                </c:pt>
                <c:pt idx="3">
                  <c:v>20</c:v>
                </c:pt>
                <c:pt idx="4">
                  <c:v>23</c:v>
                </c:pt>
              </c:numCache>
            </c:numRef>
          </c:val>
          <c:extLst>
            <c:ext xmlns:c16="http://schemas.microsoft.com/office/drawing/2014/chart" uri="{C3380CC4-5D6E-409C-BE32-E72D297353CC}">
              <c16:uniqueId val="{00000001-172A-4F48-8C1B-83753DA73CFB}"/>
            </c:ext>
          </c:extLst>
        </c:ser>
        <c:ser>
          <c:idx val="2"/>
          <c:order val="2"/>
          <c:tx>
            <c:strRef>
              <c:f>'servive rating distribution'!$C$1</c:f>
              <c:strCache>
                <c:ptCount val="1"/>
                <c:pt idx="0">
                  <c:v>percentage%</c:v>
                </c:pt>
              </c:strCache>
            </c:strRef>
          </c:tx>
          <c:spPr>
            <a:solidFill>
              <a:schemeClr val="accent3"/>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3-172A-4F48-8C1B-83753DA73CFB}"/>
              </c:ext>
            </c:extLst>
          </c:dPt>
          <c:dPt>
            <c:idx val="1"/>
            <c:invertIfNegative val="0"/>
            <c:bubble3D val="0"/>
            <c:spPr>
              <a:solidFill>
                <a:srgbClr val="FFC000"/>
              </a:solidFill>
              <a:ln>
                <a:noFill/>
              </a:ln>
              <a:effectLst/>
            </c:spPr>
            <c:extLst>
              <c:ext xmlns:c16="http://schemas.microsoft.com/office/drawing/2014/chart" uri="{C3380CC4-5D6E-409C-BE32-E72D297353CC}">
                <c16:uniqueId val="{00000005-172A-4F48-8C1B-83753DA73CFB}"/>
              </c:ext>
            </c:extLst>
          </c:dPt>
          <c:dPt>
            <c:idx val="2"/>
            <c:invertIfNegative val="0"/>
            <c:bubble3D val="0"/>
            <c:spPr>
              <a:solidFill>
                <a:srgbClr val="FFFF00"/>
              </a:solidFill>
              <a:ln>
                <a:noFill/>
              </a:ln>
              <a:effectLst/>
            </c:spPr>
            <c:extLst>
              <c:ext xmlns:c16="http://schemas.microsoft.com/office/drawing/2014/chart" uri="{C3380CC4-5D6E-409C-BE32-E72D297353CC}">
                <c16:uniqueId val="{00000007-172A-4F48-8C1B-83753DA73CFB}"/>
              </c:ext>
            </c:extLst>
          </c:dPt>
          <c:dPt>
            <c:idx val="3"/>
            <c:invertIfNegative val="0"/>
            <c:bubble3D val="0"/>
            <c:spPr>
              <a:solidFill>
                <a:srgbClr val="92D050"/>
              </a:solidFill>
              <a:ln>
                <a:noFill/>
              </a:ln>
              <a:effectLst/>
            </c:spPr>
            <c:extLst>
              <c:ext xmlns:c16="http://schemas.microsoft.com/office/drawing/2014/chart" uri="{C3380CC4-5D6E-409C-BE32-E72D297353CC}">
                <c16:uniqueId val="{00000009-172A-4F48-8C1B-83753DA73CFB}"/>
              </c:ext>
            </c:extLst>
          </c:dPt>
          <c:dPt>
            <c:idx val="4"/>
            <c:invertIfNegative val="0"/>
            <c:bubble3D val="0"/>
            <c:spPr>
              <a:solidFill>
                <a:srgbClr val="00B050"/>
              </a:solidFill>
              <a:ln>
                <a:noFill/>
              </a:ln>
              <a:effectLst/>
            </c:spPr>
            <c:extLst>
              <c:ext xmlns:c16="http://schemas.microsoft.com/office/drawing/2014/chart" uri="{C3380CC4-5D6E-409C-BE32-E72D297353CC}">
                <c16:uniqueId val="{0000000B-172A-4F48-8C1B-83753DA73CFB}"/>
              </c:ext>
            </c:extLst>
          </c:dPt>
          <c:val>
            <c:numRef>
              <c:f>'servive rating distribution'!$C$2:$C$6</c:f>
              <c:numCache>
                <c:formatCode>General</c:formatCode>
                <c:ptCount val="5"/>
                <c:pt idx="0">
                  <c:v>22</c:v>
                </c:pt>
                <c:pt idx="1">
                  <c:v>16</c:v>
                </c:pt>
                <c:pt idx="2">
                  <c:v>19</c:v>
                </c:pt>
                <c:pt idx="3">
                  <c:v>20</c:v>
                </c:pt>
                <c:pt idx="4">
                  <c:v>23</c:v>
                </c:pt>
              </c:numCache>
            </c:numRef>
          </c:val>
          <c:extLst>
            <c:ext xmlns:c16="http://schemas.microsoft.com/office/drawing/2014/chart" uri="{C3380CC4-5D6E-409C-BE32-E72D297353CC}">
              <c16:uniqueId val="{0000000C-172A-4F48-8C1B-83753DA73CFB}"/>
            </c:ext>
          </c:extLst>
        </c:ser>
        <c:dLbls>
          <c:showLegendKey val="0"/>
          <c:showVal val="0"/>
          <c:showCatName val="0"/>
          <c:showSerName val="0"/>
          <c:showPercent val="0"/>
          <c:showBubbleSize val="0"/>
        </c:dLbls>
        <c:gapWidth val="182"/>
        <c:axId val="994410383"/>
        <c:axId val="994410863"/>
      </c:barChart>
      <c:catAx>
        <c:axId val="9944103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410863"/>
        <c:crosses val="autoZero"/>
        <c:auto val="1"/>
        <c:lblAlgn val="ctr"/>
        <c:lblOffset val="100"/>
        <c:noMultiLvlLbl val="0"/>
      </c:catAx>
      <c:valAx>
        <c:axId val="994410863"/>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410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Resolved</a:t>
            </a:r>
            <a:r>
              <a:rPr lang="en-US" baseline="0"/>
              <a:t> vs NotResolved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'Feedback Category'!$B$1</c:f>
              <c:strCache>
                <c:ptCount val="1"/>
                <c:pt idx="0">
                  <c:v>count</c:v>
                </c:pt>
              </c:strCache>
            </c:strRef>
          </c:tx>
          <c:dPt>
            <c:idx val="0"/>
            <c:bubble3D val="0"/>
            <c:spPr>
              <a:solidFill>
                <a:schemeClr val="accent6">
                  <a:tint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FD3-4423-9D0F-1B1311C99C2B}"/>
              </c:ext>
            </c:extLst>
          </c:dPt>
          <c:dPt>
            <c:idx val="1"/>
            <c:bubble3D val="0"/>
            <c:spPr>
              <a:solidFill>
                <a:schemeClr val="accent6">
                  <a:tint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FD3-4423-9D0F-1B1311C99C2B}"/>
              </c:ext>
            </c:extLst>
          </c:dPt>
          <c:dPt>
            <c:idx val="2"/>
            <c:bubble3D val="0"/>
            <c:spPr>
              <a:solidFill>
                <a:schemeClr val="accent6">
                  <a:tint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FD3-4423-9D0F-1B1311C99C2B}"/>
              </c:ext>
            </c:extLst>
          </c:dPt>
          <c:dPt>
            <c:idx val="3"/>
            <c:bubble3D val="0"/>
            <c:spPr>
              <a:solidFill>
                <a:schemeClr val="accent6">
                  <a:shade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FD3-4423-9D0F-1B1311C99C2B}"/>
              </c:ext>
            </c:extLst>
          </c:dPt>
          <c:dPt>
            <c:idx val="4"/>
            <c:bubble3D val="0"/>
            <c:spPr>
              <a:solidFill>
                <a:schemeClr val="accent6">
                  <a:shade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FD3-4423-9D0F-1B1311C99C2B}"/>
              </c:ext>
            </c:extLst>
          </c:dPt>
          <c:dPt>
            <c:idx val="5"/>
            <c:bubble3D val="0"/>
            <c:spPr>
              <a:solidFill>
                <a:schemeClr val="accent6">
                  <a:shade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4FD3-4423-9D0F-1B1311C99C2B}"/>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'Feedback Category'!$A$2:$A$7</c:f>
              <c:strCache>
                <c:ptCount val="6"/>
                <c:pt idx="0">
                  <c:v>Website</c:v>
                </c:pt>
                <c:pt idx="1">
                  <c:v>Billing</c:v>
                </c:pt>
                <c:pt idx="2">
                  <c:v>Service</c:v>
                </c:pt>
                <c:pt idx="3">
                  <c:v>Product</c:v>
                </c:pt>
                <c:pt idx="4">
                  <c:v>Service</c:v>
                </c:pt>
                <c:pt idx="5">
                  <c:v>Other</c:v>
                </c:pt>
              </c:strCache>
            </c:strRef>
          </c:cat>
          <c:val>
            <c:numRef>
              <c:f>'Feedback Category'!$B$2:$B$7</c:f>
              <c:numCache>
                <c:formatCode>General</c:formatCode>
                <c:ptCount val="6"/>
                <c:pt idx="0">
                  <c:v>17</c:v>
                </c:pt>
                <c:pt idx="1">
                  <c:v>22</c:v>
                </c:pt>
                <c:pt idx="2">
                  <c:v>19</c:v>
                </c:pt>
                <c:pt idx="3">
                  <c:v>24</c:v>
                </c:pt>
                <c:pt idx="4">
                  <c:v>19</c:v>
                </c:pt>
                <c:pt idx="5">
                  <c:v>18</c:v>
                </c:pt>
              </c:numCache>
            </c:numRef>
          </c:val>
          <c:extLst>
            <c:ext xmlns:c16="http://schemas.microsoft.com/office/drawing/2014/chart" uri="{C3380CC4-5D6E-409C-BE32-E72D297353CC}">
              <c16:uniqueId val="{0000000C-4FD3-4423-9D0F-1B1311C99C2B}"/>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Resolved vs Not Resolved</a:t>
            </a:r>
          </a:p>
        </c:rich>
      </c:tx>
      <c:layout>
        <c:manualLayout>
          <c:xMode val="edge"/>
          <c:yMode val="edge"/>
          <c:x val="0.17447314006742384"/>
          <c:y val="3.96825396825396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6231847994170029"/>
          <c:y val="0.26144179894179892"/>
          <c:w val="0.77161680974979707"/>
          <c:h val="0.4338400408282298"/>
        </c:manualLayout>
      </c:layout>
      <c:barChart>
        <c:barDir val="bar"/>
        <c:grouping val="stacked"/>
        <c:varyColors val="0"/>
        <c:ser>
          <c:idx val="0"/>
          <c:order val="0"/>
          <c:tx>
            <c:strRef>
              <c:f>'Resolution Rate Analysis'!$B$1</c:f>
              <c:strCache>
                <c:ptCount val="1"/>
                <c:pt idx="0">
                  <c:v>Resolved</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'Resolution Rate Analysis'!$A$2:$A$6</c:f>
              <c:strCache>
                <c:ptCount val="5"/>
                <c:pt idx="0">
                  <c:v>Billing</c:v>
                </c:pt>
                <c:pt idx="1">
                  <c:v>Service</c:v>
                </c:pt>
                <c:pt idx="2">
                  <c:v>Product</c:v>
                </c:pt>
                <c:pt idx="3">
                  <c:v>Website</c:v>
                </c:pt>
                <c:pt idx="4">
                  <c:v>Other</c:v>
                </c:pt>
              </c:strCache>
            </c:strRef>
          </c:cat>
          <c:val>
            <c:numRef>
              <c:f>'Resolution Rate Analysis'!$B$2:$B$6</c:f>
              <c:numCache>
                <c:formatCode>General</c:formatCode>
                <c:ptCount val="5"/>
                <c:pt idx="0">
                  <c:v>18</c:v>
                </c:pt>
                <c:pt idx="1">
                  <c:v>16</c:v>
                </c:pt>
                <c:pt idx="2">
                  <c:v>19</c:v>
                </c:pt>
                <c:pt idx="3">
                  <c:v>13</c:v>
                </c:pt>
                <c:pt idx="4">
                  <c:v>14</c:v>
                </c:pt>
              </c:numCache>
            </c:numRef>
          </c:val>
          <c:extLst>
            <c:ext xmlns:c16="http://schemas.microsoft.com/office/drawing/2014/chart" uri="{C3380CC4-5D6E-409C-BE32-E72D297353CC}">
              <c16:uniqueId val="{00000000-22B9-4A2E-B817-CBA2898BBAC9}"/>
            </c:ext>
          </c:extLst>
        </c:ser>
        <c:ser>
          <c:idx val="1"/>
          <c:order val="1"/>
          <c:tx>
            <c:strRef>
              <c:f>'Resolution Rate Analysis'!$C$1</c:f>
              <c:strCache>
                <c:ptCount val="1"/>
                <c:pt idx="0">
                  <c:v>Not Resolved</c:v>
                </c:pt>
              </c:strCache>
            </c:strRef>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'Resolution Rate Analysis'!$A$2:$A$6</c:f>
              <c:strCache>
                <c:ptCount val="5"/>
                <c:pt idx="0">
                  <c:v>Billing</c:v>
                </c:pt>
                <c:pt idx="1">
                  <c:v>Service</c:v>
                </c:pt>
                <c:pt idx="2">
                  <c:v>Product</c:v>
                </c:pt>
                <c:pt idx="3">
                  <c:v>Website</c:v>
                </c:pt>
                <c:pt idx="4">
                  <c:v>Other</c:v>
                </c:pt>
              </c:strCache>
            </c:strRef>
          </c:cat>
          <c:val>
            <c:numRef>
              <c:f>'Resolution Rate Analysis'!$C$2:$C$6</c:f>
              <c:numCache>
                <c:formatCode>General</c:formatCode>
                <c:ptCount val="5"/>
                <c:pt idx="0">
                  <c:v>4</c:v>
                </c:pt>
                <c:pt idx="1">
                  <c:v>3</c:v>
                </c:pt>
                <c:pt idx="2">
                  <c:v>5</c:v>
                </c:pt>
                <c:pt idx="3">
                  <c:v>4</c:v>
                </c:pt>
                <c:pt idx="4">
                  <c:v>4</c:v>
                </c:pt>
              </c:numCache>
            </c:numRef>
          </c:val>
          <c:extLst>
            <c:ext xmlns:c16="http://schemas.microsoft.com/office/drawing/2014/chart" uri="{C3380CC4-5D6E-409C-BE32-E72D297353CC}">
              <c16:uniqueId val="{00000001-22B9-4A2E-B817-CBA2898BBAC9}"/>
            </c:ext>
          </c:extLst>
        </c:ser>
        <c:dLbls>
          <c:dLblPos val="ctr"/>
          <c:showLegendKey val="0"/>
          <c:showVal val="1"/>
          <c:showCatName val="0"/>
          <c:showSerName val="0"/>
          <c:showPercent val="0"/>
          <c:showBubbleSize val="0"/>
        </c:dLbls>
        <c:gapWidth val="150"/>
        <c:overlap val="100"/>
        <c:axId val="1806522832"/>
        <c:axId val="1806512752"/>
      </c:barChart>
      <c:catAx>
        <c:axId val="180652283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6512752"/>
        <c:crosses val="autoZero"/>
        <c:auto val="1"/>
        <c:lblAlgn val="ctr"/>
        <c:lblOffset val="100"/>
        <c:noMultiLvlLbl val="0"/>
      </c:catAx>
      <c:valAx>
        <c:axId val="1806512752"/>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6522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Resolution Rate by Category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65118999162538"/>
          <c:y val="0.30986238532110094"/>
          <c:w val="0.80595393490252221"/>
          <c:h val="0.61368501529051989"/>
        </c:manualLayout>
      </c:layout>
      <c:barChart>
        <c:barDir val="bar"/>
        <c:grouping val="stacked"/>
        <c:varyColors val="0"/>
        <c:ser>
          <c:idx val="0"/>
          <c:order val="0"/>
          <c:tx>
            <c:strRef>
              <c:f>'Resolution Rate Analysis'!$B$13</c:f>
              <c:strCache>
                <c:ptCount val="1"/>
                <c:pt idx="0">
                  <c:v>Resolution Rate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'Resolution Rate Analysis'!$A$14:$A$18</c:f>
              <c:strCache>
                <c:ptCount val="5"/>
                <c:pt idx="0">
                  <c:v>Billing</c:v>
                </c:pt>
                <c:pt idx="1">
                  <c:v>Service</c:v>
                </c:pt>
                <c:pt idx="2">
                  <c:v>Product</c:v>
                </c:pt>
                <c:pt idx="3">
                  <c:v>Website</c:v>
                </c:pt>
                <c:pt idx="4">
                  <c:v>Other</c:v>
                </c:pt>
              </c:strCache>
            </c:strRef>
          </c:cat>
          <c:val>
            <c:numRef>
              <c:f>'Resolution Rate Analysis'!$B$14:$B$18</c:f>
              <c:numCache>
                <c:formatCode>General</c:formatCode>
                <c:ptCount val="5"/>
                <c:pt idx="0">
                  <c:v>80</c:v>
                </c:pt>
              </c:numCache>
            </c:numRef>
          </c:val>
          <c:extLst>
            <c:ext xmlns:c16="http://schemas.microsoft.com/office/drawing/2014/chart" uri="{C3380CC4-5D6E-409C-BE32-E72D297353CC}">
              <c16:uniqueId val="{00000000-C833-4A7D-B348-624CC9654ED6}"/>
            </c:ext>
          </c:extLst>
        </c:ser>
        <c:dLbls>
          <c:dLblPos val="ctr"/>
          <c:showLegendKey val="0"/>
          <c:showVal val="1"/>
          <c:showCatName val="0"/>
          <c:showSerName val="0"/>
          <c:showPercent val="0"/>
          <c:showBubbleSize val="0"/>
        </c:dLbls>
        <c:gapWidth val="79"/>
        <c:overlap val="100"/>
        <c:axId val="1866852640"/>
        <c:axId val="1866854080"/>
      </c:barChart>
      <c:catAx>
        <c:axId val="1866852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66854080"/>
        <c:crosses val="autoZero"/>
        <c:auto val="1"/>
        <c:lblAlgn val="ctr"/>
        <c:lblOffset val="100"/>
        <c:noMultiLvlLbl val="0"/>
      </c:catAx>
      <c:valAx>
        <c:axId val="1866854080"/>
        <c:scaling>
          <c:orientation val="minMax"/>
        </c:scaling>
        <c:delete val="1"/>
        <c:axPos val="b"/>
        <c:numFmt formatCode="General" sourceLinked="1"/>
        <c:majorTickMark val="none"/>
        <c:minorTickMark val="none"/>
        <c:tickLblPos val="nextTo"/>
        <c:crossAx val="186685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lgn="ctr">
              <a:defRPr sz="1600" b="0" i="0" u="none" strike="noStrike" kern="1200" cap="none" spc="0" normalizeH="0" baseline="0">
                <a:solidFill>
                  <a:schemeClr val="tx1">
                    <a:lumMod val="65000"/>
                    <a:lumOff val="35000"/>
                  </a:schemeClr>
                </a:solidFill>
                <a:latin typeface="+mj-lt"/>
                <a:ea typeface="+mj-ea"/>
                <a:cs typeface="+mj-cs"/>
              </a:defRPr>
            </a:pPr>
            <a:r>
              <a:rPr lang="en-IN" sz="1600"/>
              <a:t>Average Response</a:t>
            </a:r>
            <a:r>
              <a:rPr lang="en-IN" sz="1600" baseline="0"/>
              <a:t> Time</a:t>
            </a:r>
            <a:r>
              <a:rPr lang="en-IN" sz="1600"/>
              <a:t> by Category</a:t>
            </a:r>
          </a:p>
        </c:rich>
      </c:tx>
      <c:layout>
        <c:manualLayout>
          <c:xMode val="edge"/>
          <c:yMode val="edge"/>
          <c:x val="0.19667344706911638"/>
          <c:y val="4.6296296296296294E-2"/>
        </c:manualLayout>
      </c:layout>
      <c:overlay val="0"/>
      <c:spPr>
        <a:solidFill>
          <a:schemeClr val="bg1"/>
        </a:solidFill>
        <a:ln>
          <a:noFill/>
        </a:ln>
        <a:effectLst/>
      </c:spPr>
      <c:txPr>
        <a:bodyPr rot="0" spcFirstLastPara="1" vertOverflow="ellipsis" vert="horz" wrap="square" anchor="ctr" anchorCtr="1"/>
        <a:lstStyle/>
        <a:p>
          <a:pPr algn="ctr">
            <a:defRPr sz="16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750683796104433"/>
          <c:y val="0.33975757575757576"/>
          <c:w val="0.64491421467053456"/>
          <c:h val="0.36282796468623241"/>
        </c:manualLayout>
      </c:layout>
      <c:bar3DChart>
        <c:barDir val="bar"/>
        <c:grouping val="clustered"/>
        <c:varyColors val="0"/>
        <c:ser>
          <c:idx val="0"/>
          <c:order val="0"/>
          <c:tx>
            <c:strRef>
              <c:f>'Response Time Charts'!$A$2</c:f>
              <c:strCache>
                <c:ptCount val="1"/>
                <c:pt idx="0">
                  <c:v>Billing</c:v>
                </c:pt>
              </c:strCache>
            </c:strRef>
          </c:tx>
          <c:spPr>
            <a:solidFill>
              <a:schemeClr val="accent5">
                <a:tint val="54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'Response Time Charts'!$B$1</c:f>
              <c:strCache>
                <c:ptCount val="1"/>
                <c:pt idx="0">
                  <c:v>Avg Response Time</c:v>
                </c:pt>
              </c:strCache>
            </c:strRef>
          </c:cat>
          <c:val>
            <c:numRef>
              <c:f>'Response Time Charts'!$B$2</c:f>
              <c:numCache>
                <c:formatCode>General</c:formatCode>
                <c:ptCount val="1"/>
                <c:pt idx="0">
                  <c:v>41.177272727272729</c:v>
                </c:pt>
              </c:numCache>
            </c:numRef>
          </c:val>
          <c:extLst>
            <c:ext xmlns:c16="http://schemas.microsoft.com/office/drawing/2014/chart" uri="{C3380CC4-5D6E-409C-BE32-E72D297353CC}">
              <c16:uniqueId val="{00000000-E15B-4C46-9537-C0B8007B7899}"/>
            </c:ext>
          </c:extLst>
        </c:ser>
        <c:ser>
          <c:idx val="1"/>
          <c:order val="1"/>
          <c:tx>
            <c:strRef>
              <c:f>'Response Time Charts'!$A$3</c:f>
              <c:strCache>
                <c:ptCount val="1"/>
                <c:pt idx="0">
                  <c:v>Service</c:v>
                </c:pt>
              </c:strCache>
            </c:strRef>
          </c:tx>
          <c:spPr>
            <a:solidFill>
              <a:schemeClr val="accent5">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'Response Time Charts'!$B$1</c:f>
              <c:strCache>
                <c:ptCount val="1"/>
                <c:pt idx="0">
                  <c:v>Avg Response Time</c:v>
                </c:pt>
              </c:strCache>
            </c:strRef>
          </c:cat>
          <c:val>
            <c:numRef>
              <c:f>'Response Time Charts'!$B$3</c:f>
              <c:numCache>
                <c:formatCode>General</c:formatCode>
                <c:ptCount val="1"/>
                <c:pt idx="0">
                  <c:v>43.368421052631575</c:v>
                </c:pt>
              </c:numCache>
            </c:numRef>
          </c:val>
          <c:extLst>
            <c:ext xmlns:c16="http://schemas.microsoft.com/office/drawing/2014/chart" uri="{C3380CC4-5D6E-409C-BE32-E72D297353CC}">
              <c16:uniqueId val="{00000001-E15B-4C46-9537-C0B8007B7899}"/>
            </c:ext>
          </c:extLst>
        </c:ser>
        <c:ser>
          <c:idx val="2"/>
          <c:order val="2"/>
          <c:tx>
            <c:strRef>
              <c:f>'Response Time Charts'!$A$4</c:f>
              <c:strCache>
                <c:ptCount val="1"/>
                <c:pt idx="0">
                  <c:v>Product</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'Response Time Charts'!$B$1</c:f>
              <c:strCache>
                <c:ptCount val="1"/>
                <c:pt idx="0">
                  <c:v>Avg Response Time</c:v>
                </c:pt>
              </c:strCache>
            </c:strRef>
          </c:cat>
          <c:val>
            <c:numRef>
              <c:f>'Response Time Charts'!$B$4</c:f>
              <c:numCache>
                <c:formatCode>General</c:formatCode>
                <c:ptCount val="1"/>
                <c:pt idx="0">
                  <c:v>39.783333333333324</c:v>
                </c:pt>
              </c:numCache>
            </c:numRef>
          </c:val>
          <c:extLst>
            <c:ext xmlns:c16="http://schemas.microsoft.com/office/drawing/2014/chart" uri="{C3380CC4-5D6E-409C-BE32-E72D297353CC}">
              <c16:uniqueId val="{00000002-E15B-4C46-9537-C0B8007B7899}"/>
            </c:ext>
          </c:extLst>
        </c:ser>
        <c:ser>
          <c:idx val="3"/>
          <c:order val="3"/>
          <c:tx>
            <c:strRef>
              <c:f>'Response Time Charts'!$A$5</c:f>
              <c:strCache>
                <c:ptCount val="1"/>
                <c:pt idx="0">
                  <c:v>Website</c:v>
                </c:pt>
              </c:strCache>
            </c:strRef>
          </c:tx>
          <c:spPr>
            <a:solidFill>
              <a:schemeClr val="accent5">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'Response Time Charts'!$B$1</c:f>
              <c:strCache>
                <c:ptCount val="1"/>
                <c:pt idx="0">
                  <c:v>Avg Response Time</c:v>
                </c:pt>
              </c:strCache>
            </c:strRef>
          </c:cat>
          <c:val>
            <c:numRef>
              <c:f>'Response Time Charts'!$B$5</c:f>
              <c:numCache>
                <c:formatCode>General</c:formatCode>
                <c:ptCount val="1"/>
                <c:pt idx="0">
                  <c:v>46.374999999999993</c:v>
                </c:pt>
              </c:numCache>
            </c:numRef>
          </c:val>
          <c:extLst>
            <c:ext xmlns:c16="http://schemas.microsoft.com/office/drawing/2014/chart" uri="{C3380CC4-5D6E-409C-BE32-E72D297353CC}">
              <c16:uniqueId val="{00000003-E15B-4C46-9537-C0B8007B7899}"/>
            </c:ext>
          </c:extLst>
        </c:ser>
        <c:ser>
          <c:idx val="4"/>
          <c:order val="4"/>
          <c:tx>
            <c:strRef>
              <c:f>'Response Time Charts'!$A$6</c:f>
              <c:strCache>
                <c:ptCount val="1"/>
                <c:pt idx="0">
                  <c:v>Other</c:v>
                </c:pt>
              </c:strCache>
            </c:strRef>
          </c:tx>
          <c:spPr>
            <a:solidFill>
              <a:schemeClr val="accent5">
                <a:shade val="53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'Response Time Charts'!$B$1</c:f>
              <c:strCache>
                <c:ptCount val="1"/>
                <c:pt idx="0">
                  <c:v>Avg Response Time</c:v>
                </c:pt>
              </c:strCache>
            </c:strRef>
          </c:cat>
          <c:val>
            <c:numRef>
              <c:f>'Response Time Charts'!$B$6</c:f>
              <c:numCache>
                <c:formatCode>General</c:formatCode>
                <c:ptCount val="1"/>
                <c:pt idx="0">
                  <c:v>38.883333333333333</c:v>
                </c:pt>
              </c:numCache>
            </c:numRef>
          </c:val>
          <c:extLst>
            <c:ext xmlns:c16="http://schemas.microsoft.com/office/drawing/2014/chart" uri="{C3380CC4-5D6E-409C-BE32-E72D297353CC}">
              <c16:uniqueId val="{00000004-E15B-4C46-9537-C0B8007B7899}"/>
            </c:ext>
          </c:extLst>
        </c:ser>
        <c:dLbls>
          <c:showLegendKey val="0"/>
          <c:showVal val="1"/>
          <c:showCatName val="0"/>
          <c:showSerName val="0"/>
          <c:showPercent val="0"/>
          <c:showBubbleSize val="0"/>
        </c:dLbls>
        <c:gapWidth val="150"/>
        <c:shape val="box"/>
        <c:axId val="1806513712"/>
        <c:axId val="1806517072"/>
        <c:axId val="0"/>
      </c:bar3DChart>
      <c:catAx>
        <c:axId val="1806513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806517072"/>
        <c:crosses val="autoZero"/>
        <c:auto val="1"/>
        <c:lblAlgn val="ctr"/>
        <c:lblOffset val="100"/>
        <c:noMultiLvlLbl val="0"/>
      </c:catAx>
      <c:valAx>
        <c:axId val="1806517072"/>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513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Response Time vs Satisfaction</a:t>
            </a:r>
            <a:endParaRPr lang="en-IN"/>
          </a:p>
        </c:rich>
      </c:tx>
      <c:layout>
        <c:manualLayout>
          <c:xMode val="edge"/>
          <c:yMode val="edge"/>
          <c:x val="0.20250000000000001"/>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dataset!$E$1</c:f>
              <c:strCache>
                <c:ptCount val="1"/>
                <c:pt idx="0">
                  <c:v>Response Time (hours)</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cap="rnd">
                <a:solidFill>
                  <a:schemeClr val="dk1">
                    <a:tint val="88500"/>
                  </a:schemeClr>
                </a:solidFill>
                <a:round/>
              </a:ln>
              <a:effectLst>
                <a:outerShdw blurRad="57150" dist="19050" dir="5400000" algn="ctr" rotWithShape="0">
                  <a:srgbClr val="000000">
                    <a:alpha val="63000"/>
                  </a:srgbClr>
                </a:outerShdw>
              </a:effectLst>
            </c:spPr>
          </c:marker>
          <c:yVal>
            <c:numRef>
              <c:f>dataset!$E$2:$E$101</c:f>
              <c:numCache>
                <c:formatCode>General</c:formatCode>
                <c:ptCount val="100"/>
                <c:pt idx="0">
                  <c:v>24.8</c:v>
                </c:pt>
                <c:pt idx="1">
                  <c:v>59.6</c:v>
                </c:pt>
                <c:pt idx="2">
                  <c:v>26.8</c:v>
                </c:pt>
                <c:pt idx="3">
                  <c:v>3.4</c:v>
                </c:pt>
                <c:pt idx="4">
                  <c:v>60</c:v>
                </c:pt>
                <c:pt idx="5">
                  <c:v>25.5</c:v>
                </c:pt>
                <c:pt idx="6">
                  <c:v>55.9</c:v>
                </c:pt>
                <c:pt idx="7">
                  <c:v>26.8</c:v>
                </c:pt>
                <c:pt idx="8">
                  <c:v>62.1</c:v>
                </c:pt>
                <c:pt idx="9">
                  <c:v>16.600000000000001</c:v>
                </c:pt>
                <c:pt idx="10">
                  <c:v>70.2</c:v>
                </c:pt>
                <c:pt idx="11">
                  <c:v>56.4</c:v>
                </c:pt>
                <c:pt idx="12">
                  <c:v>9.1</c:v>
                </c:pt>
                <c:pt idx="13">
                  <c:v>41.2</c:v>
                </c:pt>
                <c:pt idx="14">
                  <c:v>71</c:v>
                </c:pt>
                <c:pt idx="15">
                  <c:v>34.4</c:v>
                </c:pt>
                <c:pt idx="16">
                  <c:v>13.9</c:v>
                </c:pt>
                <c:pt idx="17">
                  <c:v>35.4</c:v>
                </c:pt>
                <c:pt idx="18">
                  <c:v>37.4</c:v>
                </c:pt>
                <c:pt idx="19">
                  <c:v>53.7</c:v>
                </c:pt>
                <c:pt idx="20">
                  <c:v>50.6</c:v>
                </c:pt>
                <c:pt idx="21">
                  <c:v>29.6</c:v>
                </c:pt>
                <c:pt idx="22">
                  <c:v>16.5</c:v>
                </c:pt>
                <c:pt idx="23">
                  <c:v>46.8</c:v>
                </c:pt>
                <c:pt idx="24">
                  <c:v>30.9</c:v>
                </c:pt>
                <c:pt idx="25">
                  <c:v>10.4</c:v>
                </c:pt>
                <c:pt idx="26">
                  <c:v>64.900000000000006</c:v>
                </c:pt>
                <c:pt idx="27">
                  <c:v>50.1</c:v>
                </c:pt>
                <c:pt idx="28">
                  <c:v>49.5</c:v>
                </c:pt>
                <c:pt idx="29">
                  <c:v>59.4</c:v>
                </c:pt>
                <c:pt idx="30">
                  <c:v>38.6</c:v>
                </c:pt>
                <c:pt idx="31">
                  <c:v>58.9</c:v>
                </c:pt>
                <c:pt idx="32">
                  <c:v>36.4</c:v>
                </c:pt>
                <c:pt idx="33">
                  <c:v>5.8</c:v>
                </c:pt>
                <c:pt idx="34">
                  <c:v>29.8</c:v>
                </c:pt>
                <c:pt idx="35">
                  <c:v>36.299999999999997</c:v>
                </c:pt>
                <c:pt idx="36">
                  <c:v>52.1</c:v>
                </c:pt>
                <c:pt idx="37">
                  <c:v>8.6</c:v>
                </c:pt>
                <c:pt idx="38">
                  <c:v>10.9</c:v>
                </c:pt>
                <c:pt idx="39">
                  <c:v>19.7</c:v>
                </c:pt>
                <c:pt idx="40">
                  <c:v>19.899999999999999</c:v>
                </c:pt>
                <c:pt idx="41">
                  <c:v>53</c:v>
                </c:pt>
                <c:pt idx="42">
                  <c:v>18.8</c:v>
                </c:pt>
                <c:pt idx="43">
                  <c:v>45.9</c:v>
                </c:pt>
                <c:pt idx="44">
                  <c:v>36.1</c:v>
                </c:pt>
                <c:pt idx="45">
                  <c:v>41.7</c:v>
                </c:pt>
                <c:pt idx="46">
                  <c:v>60.5</c:v>
                </c:pt>
                <c:pt idx="47">
                  <c:v>29.7</c:v>
                </c:pt>
                <c:pt idx="48">
                  <c:v>55.7</c:v>
                </c:pt>
                <c:pt idx="49">
                  <c:v>31</c:v>
                </c:pt>
                <c:pt idx="50">
                  <c:v>26.1</c:v>
                </c:pt>
                <c:pt idx="51">
                  <c:v>69.099999999999994</c:v>
                </c:pt>
                <c:pt idx="52">
                  <c:v>14.1</c:v>
                </c:pt>
                <c:pt idx="53">
                  <c:v>7.4</c:v>
                </c:pt>
                <c:pt idx="54">
                  <c:v>55.7</c:v>
                </c:pt>
                <c:pt idx="55">
                  <c:v>5.8</c:v>
                </c:pt>
                <c:pt idx="56">
                  <c:v>60.4</c:v>
                </c:pt>
                <c:pt idx="57">
                  <c:v>32</c:v>
                </c:pt>
                <c:pt idx="58">
                  <c:v>66</c:v>
                </c:pt>
                <c:pt idx="59">
                  <c:v>52.2</c:v>
                </c:pt>
                <c:pt idx="60">
                  <c:v>44.3</c:v>
                </c:pt>
                <c:pt idx="61">
                  <c:v>68.400000000000006</c:v>
                </c:pt>
                <c:pt idx="62">
                  <c:v>29.2</c:v>
                </c:pt>
                <c:pt idx="63">
                  <c:v>68.7</c:v>
                </c:pt>
                <c:pt idx="64">
                  <c:v>10.6</c:v>
                </c:pt>
                <c:pt idx="65">
                  <c:v>35.299999999999997</c:v>
                </c:pt>
                <c:pt idx="66">
                  <c:v>20.2</c:v>
                </c:pt>
                <c:pt idx="67">
                  <c:v>39.299999999999997</c:v>
                </c:pt>
                <c:pt idx="68">
                  <c:v>12.5</c:v>
                </c:pt>
                <c:pt idx="69">
                  <c:v>60.7</c:v>
                </c:pt>
                <c:pt idx="70">
                  <c:v>61.1</c:v>
                </c:pt>
                <c:pt idx="71">
                  <c:v>68.8</c:v>
                </c:pt>
                <c:pt idx="72">
                  <c:v>12</c:v>
                </c:pt>
                <c:pt idx="73">
                  <c:v>45.3</c:v>
                </c:pt>
                <c:pt idx="74">
                  <c:v>34.700000000000003</c:v>
                </c:pt>
                <c:pt idx="75">
                  <c:v>25.5</c:v>
                </c:pt>
                <c:pt idx="76">
                  <c:v>26</c:v>
                </c:pt>
                <c:pt idx="77">
                  <c:v>30.3</c:v>
                </c:pt>
                <c:pt idx="78">
                  <c:v>51</c:v>
                </c:pt>
                <c:pt idx="79">
                  <c:v>43.5</c:v>
                </c:pt>
                <c:pt idx="80">
                  <c:v>33.6</c:v>
                </c:pt>
                <c:pt idx="81">
                  <c:v>6.4</c:v>
                </c:pt>
                <c:pt idx="82">
                  <c:v>6.5</c:v>
                </c:pt>
                <c:pt idx="83">
                  <c:v>1.2</c:v>
                </c:pt>
                <c:pt idx="84">
                  <c:v>69.7</c:v>
                </c:pt>
                <c:pt idx="85">
                  <c:v>1.4</c:v>
                </c:pt>
                <c:pt idx="86">
                  <c:v>8.3000000000000007</c:v>
                </c:pt>
                <c:pt idx="87">
                  <c:v>23.3</c:v>
                </c:pt>
                <c:pt idx="88">
                  <c:v>58.3</c:v>
                </c:pt>
                <c:pt idx="89">
                  <c:v>69.3</c:v>
                </c:pt>
                <c:pt idx="90">
                  <c:v>57.1</c:v>
                </c:pt>
                <c:pt idx="91">
                  <c:v>50</c:v>
                </c:pt>
                <c:pt idx="92">
                  <c:v>38</c:v>
                </c:pt>
                <c:pt idx="93">
                  <c:v>7.2</c:v>
                </c:pt>
                <c:pt idx="94">
                  <c:v>69</c:v>
                </c:pt>
                <c:pt idx="95">
                  <c:v>54.8</c:v>
                </c:pt>
                <c:pt idx="96">
                  <c:v>46.4</c:v>
                </c:pt>
                <c:pt idx="97">
                  <c:v>54.9</c:v>
                </c:pt>
                <c:pt idx="98">
                  <c:v>52.4</c:v>
                </c:pt>
                <c:pt idx="99">
                  <c:v>46.2</c:v>
                </c:pt>
              </c:numCache>
            </c:numRef>
          </c:yVal>
          <c:smooth val="0"/>
          <c:extLst>
            <c:ext xmlns:c16="http://schemas.microsoft.com/office/drawing/2014/chart" uri="{C3380CC4-5D6E-409C-BE32-E72D297353CC}">
              <c16:uniqueId val="{00000000-F291-4A88-932C-E370C6A160BB}"/>
            </c:ext>
          </c:extLst>
        </c:ser>
        <c:ser>
          <c:idx val="1"/>
          <c:order val="1"/>
          <c:tx>
            <c:strRef>
              <c:f>dataset!$C$1</c:f>
              <c:strCache>
                <c:ptCount val="1"/>
                <c:pt idx="0">
                  <c:v>Service Rating</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w="9525" cap="rnd">
                <a:solidFill>
                  <a:schemeClr val="dk1">
                    <a:tint val="55000"/>
                  </a:schemeClr>
                </a:solidFill>
                <a:round/>
              </a:ln>
              <a:effectLst>
                <a:outerShdw blurRad="57150" dist="19050" dir="5400000" algn="ctr" rotWithShape="0">
                  <a:srgbClr val="000000">
                    <a:alpha val="63000"/>
                  </a:srgbClr>
                </a:outerShdw>
              </a:effectLst>
            </c:spPr>
          </c:marker>
          <c:xVal>
            <c:strRef>
              <c:f>dataset!$C:$C</c:f>
              <c:strCache>
                <c:ptCount val="101"/>
                <c:pt idx="0">
                  <c:v>Service Rating</c:v>
                </c:pt>
                <c:pt idx="1">
                  <c:v>5</c:v>
                </c:pt>
                <c:pt idx="2">
                  <c:v>1</c:v>
                </c:pt>
                <c:pt idx="3">
                  <c:v>1</c:v>
                </c:pt>
                <c:pt idx="4">
                  <c:v>1</c:v>
                </c:pt>
                <c:pt idx="5">
                  <c:v>1</c:v>
                </c:pt>
                <c:pt idx="6">
                  <c:v>1</c:v>
                </c:pt>
                <c:pt idx="7">
                  <c:v>2</c:v>
                </c:pt>
                <c:pt idx="8">
                  <c:v>5</c:v>
                </c:pt>
                <c:pt idx="9">
                  <c:v>3</c:v>
                </c:pt>
                <c:pt idx="10">
                  <c:v>3</c:v>
                </c:pt>
                <c:pt idx="11">
                  <c:v>3</c:v>
                </c:pt>
                <c:pt idx="12">
                  <c:v>3</c:v>
                </c:pt>
                <c:pt idx="13">
                  <c:v>2</c:v>
                </c:pt>
                <c:pt idx="14">
                  <c:v>4</c:v>
                </c:pt>
                <c:pt idx="15">
                  <c:v>5</c:v>
                </c:pt>
                <c:pt idx="16">
                  <c:v>1</c:v>
                </c:pt>
                <c:pt idx="17">
                  <c:v>4</c:v>
                </c:pt>
                <c:pt idx="18">
                  <c:v>3</c:v>
                </c:pt>
                <c:pt idx="19">
                  <c:v>4</c:v>
                </c:pt>
                <c:pt idx="20">
                  <c:v>5</c:v>
                </c:pt>
                <c:pt idx="21">
                  <c:v>1</c:v>
                </c:pt>
                <c:pt idx="22">
                  <c:v>1</c:v>
                </c:pt>
                <c:pt idx="23">
                  <c:v>5</c:v>
                </c:pt>
                <c:pt idx="24">
                  <c:v>5</c:v>
                </c:pt>
                <c:pt idx="25">
                  <c:v>3</c:v>
                </c:pt>
                <c:pt idx="26">
                  <c:v>1</c:v>
                </c:pt>
                <c:pt idx="27">
                  <c:v>4</c:v>
                </c:pt>
                <c:pt idx="28">
                  <c:v>2</c:v>
                </c:pt>
                <c:pt idx="29">
                  <c:v>2</c:v>
                </c:pt>
                <c:pt idx="30">
                  <c:v>5</c:v>
                </c:pt>
                <c:pt idx="31">
                  <c:v>3</c:v>
                </c:pt>
                <c:pt idx="32">
                  <c:v>2</c:v>
                </c:pt>
                <c:pt idx="33">
                  <c:v>1</c:v>
                </c:pt>
                <c:pt idx="34">
                  <c:v>5</c:v>
                </c:pt>
                <c:pt idx="35">
                  <c:v>4</c:v>
                </c:pt>
                <c:pt idx="36">
                  <c:v>5</c:v>
                </c:pt>
                <c:pt idx="37">
                  <c:v>4</c:v>
                </c:pt>
                <c:pt idx="38">
                  <c:v>5</c:v>
                </c:pt>
                <c:pt idx="39">
                  <c:v>5</c:v>
                </c:pt>
                <c:pt idx="40">
                  <c:v>5</c:v>
                </c:pt>
                <c:pt idx="41">
                  <c:v>4</c:v>
                </c:pt>
                <c:pt idx="42">
                  <c:v>4</c:v>
                </c:pt>
                <c:pt idx="43">
                  <c:v>5</c:v>
                </c:pt>
                <c:pt idx="44">
                  <c:v>2</c:v>
                </c:pt>
                <c:pt idx="45">
                  <c:v>3</c:v>
                </c:pt>
                <c:pt idx="46">
                  <c:v>3</c:v>
                </c:pt>
                <c:pt idx="47">
                  <c:v>3</c:v>
                </c:pt>
                <c:pt idx="48">
                  <c:v>4</c:v>
                </c:pt>
                <c:pt idx="49">
                  <c:v>4</c:v>
                </c:pt>
                <c:pt idx="50">
                  <c:v>2</c:v>
                </c:pt>
                <c:pt idx="51">
                  <c:v>3</c:v>
                </c:pt>
                <c:pt idx="52">
                  <c:v>3</c:v>
                </c:pt>
                <c:pt idx="53">
                  <c:v>5</c:v>
                </c:pt>
                <c:pt idx="54">
                  <c:v>4</c:v>
                </c:pt>
                <c:pt idx="55">
                  <c:v>3</c:v>
                </c:pt>
                <c:pt idx="56">
                  <c:v>2</c:v>
                </c:pt>
                <c:pt idx="57">
                  <c:v>2</c:v>
                </c:pt>
                <c:pt idx="58">
                  <c:v>3</c:v>
                </c:pt>
                <c:pt idx="59">
                  <c:v>4</c:v>
                </c:pt>
                <c:pt idx="60">
                  <c:v>2</c:v>
                </c:pt>
                <c:pt idx="61">
                  <c:v>5</c:v>
                </c:pt>
                <c:pt idx="62">
                  <c:v>2</c:v>
                </c:pt>
                <c:pt idx="63">
                  <c:v>1</c:v>
                </c:pt>
                <c:pt idx="64">
                  <c:v>1</c:v>
                </c:pt>
                <c:pt idx="65">
                  <c:v>4</c:v>
                </c:pt>
                <c:pt idx="66">
                  <c:v>3</c:v>
                </c:pt>
                <c:pt idx="67">
                  <c:v>4</c:v>
                </c:pt>
                <c:pt idx="68">
                  <c:v>4</c:v>
                </c:pt>
                <c:pt idx="69">
                  <c:v>4</c:v>
                </c:pt>
                <c:pt idx="70">
                  <c:v>4</c:v>
                </c:pt>
                <c:pt idx="71">
                  <c:v>5</c:v>
                </c:pt>
                <c:pt idx="72">
                  <c:v>5</c:v>
                </c:pt>
                <c:pt idx="73">
                  <c:v>2</c:v>
                </c:pt>
                <c:pt idx="74">
                  <c:v>1</c:v>
                </c:pt>
                <c:pt idx="75">
                  <c:v>4</c:v>
                </c:pt>
                <c:pt idx="76">
                  <c:v>2</c:v>
                </c:pt>
                <c:pt idx="77">
                  <c:v>1</c:v>
                </c:pt>
                <c:pt idx="78">
                  <c:v>3</c:v>
                </c:pt>
                <c:pt idx="79">
                  <c:v>5</c:v>
                </c:pt>
                <c:pt idx="80">
                  <c:v>1</c:v>
                </c:pt>
                <c:pt idx="81">
                  <c:v>3</c:v>
                </c:pt>
                <c:pt idx="82">
                  <c:v>1</c:v>
                </c:pt>
                <c:pt idx="83">
                  <c:v>5</c:v>
                </c:pt>
                <c:pt idx="84">
                  <c:v>5</c:v>
                </c:pt>
                <c:pt idx="85">
                  <c:v>2</c:v>
                </c:pt>
                <c:pt idx="86">
                  <c:v>4</c:v>
                </c:pt>
                <c:pt idx="87">
                  <c:v>1</c:v>
                </c:pt>
                <c:pt idx="88">
                  <c:v>1</c:v>
                </c:pt>
                <c:pt idx="89">
                  <c:v>3</c:v>
                </c:pt>
                <c:pt idx="90">
                  <c:v>5</c:v>
                </c:pt>
                <c:pt idx="91">
                  <c:v>1</c:v>
                </c:pt>
                <c:pt idx="92">
                  <c:v>5</c:v>
                </c:pt>
                <c:pt idx="93">
                  <c:v>1</c:v>
                </c:pt>
                <c:pt idx="94">
                  <c:v>2</c:v>
                </c:pt>
                <c:pt idx="95">
                  <c:v>4</c:v>
                </c:pt>
                <c:pt idx="96">
                  <c:v>1</c:v>
                </c:pt>
                <c:pt idx="97">
                  <c:v>5</c:v>
                </c:pt>
                <c:pt idx="98">
                  <c:v>2</c:v>
                </c:pt>
                <c:pt idx="99">
                  <c:v>1</c:v>
                </c:pt>
                <c:pt idx="100">
                  <c:v>3</c:v>
                </c:pt>
              </c:strCache>
            </c:strRef>
          </c:xVal>
          <c:yVal>
            <c:numLit>
              <c:formatCode>General</c:formatCode>
              <c:ptCount val="1"/>
              <c:pt idx="0">
                <c:v>1</c:v>
              </c:pt>
            </c:numLit>
          </c:yVal>
          <c:smooth val="0"/>
          <c:extLst>
            <c:ext xmlns:c16="http://schemas.microsoft.com/office/drawing/2014/chart" uri="{C3380CC4-5D6E-409C-BE32-E72D297353CC}">
              <c16:uniqueId val="{00000001-F291-4A88-932C-E370C6A160BB}"/>
            </c:ext>
          </c:extLst>
        </c:ser>
        <c:dLbls>
          <c:showLegendKey val="0"/>
          <c:showVal val="0"/>
          <c:showCatName val="0"/>
          <c:showSerName val="0"/>
          <c:showPercent val="0"/>
          <c:showBubbleSize val="0"/>
        </c:dLbls>
        <c:axId val="1985458944"/>
        <c:axId val="1985463744"/>
      </c:scatterChart>
      <c:valAx>
        <c:axId val="198545894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463744"/>
        <c:crosses val="autoZero"/>
        <c:crossBetween val="midCat"/>
      </c:valAx>
      <c:valAx>
        <c:axId val="1985463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4589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miniproject 2.xlsx]Time Trend Analysis!PivotTable16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Time Trend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8575" cap="rnd">
            <a:solidFill>
              <a:schemeClr val="accent4"/>
            </a:solidFill>
            <a:round/>
          </a:ln>
          <a:effectLst/>
        </c:spPr>
        <c:marker>
          <c:symbol val="circle"/>
          <c:size val="5"/>
          <c:spPr>
            <a:solidFill>
              <a:schemeClr val="accent4">
                <a:shade val="65000"/>
              </a:schemeClr>
            </a:solidFill>
            <a:ln w="9525">
              <a:solidFill>
                <a:schemeClr val="accent4">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28575" cap="rnd">
            <a:solidFill>
              <a:schemeClr val="accent4"/>
            </a:solidFill>
            <a:round/>
          </a:ln>
          <a:effectLst/>
        </c:spPr>
        <c:marker>
          <c:symbol val="circle"/>
          <c:size val="5"/>
          <c:spPr>
            <a:solidFill>
              <a:schemeClr val="accent4">
                <a:tint val="65000"/>
              </a:schemeClr>
            </a:solidFill>
            <a:ln w="9525">
              <a:solidFill>
                <a:schemeClr val="accent4">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28575" cap="rnd">
            <a:solidFill>
              <a:schemeClr val="accent4"/>
            </a:solidFill>
            <a:round/>
          </a:ln>
          <a:effectLst/>
        </c:spPr>
        <c:marker>
          <c:symbol val="circle"/>
          <c:size val="5"/>
          <c:spPr>
            <a:solidFill>
              <a:schemeClr val="accent4">
                <a:shade val="65000"/>
              </a:schemeClr>
            </a:solidFill>
            <a:ln w="9525">
              <a:solidFill>
                <a:schemeClr val="accent4">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28575" cap="rnd">
            <a:solidFill>
              <a:schemeClr val="accent4"/>
            </a:solidFill>
            <a:round/>
          </a:ln>
          <a:effectLst/>
        </c:spPr>
        <c:marker>
          <c:symbol val="circle"/>
          <c:size val="5"/>
          <c:spPr>
            <a:solidFill>
              <a:schemeClr val="accent4">
                <a:tint val="65000"/>
              </a:schemeClr>
            </a:solidFill>
            <a:ln w="9525">
              <a:solidFill>
                <a:schemeClr val="accent4">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4"/>
            </a:solidFill>
            <a:round/>
          </a:ln>
          <a:effectLst/>
        </c:spPr>
        <c:marker>
          <c:symbol val="circle"/>
          <c:size val="5"/>
          <c:spPr>
            <a:solidFill>
              <a:schemeClr val="accent4">
                <a:shade val="65000"/>
              </a:schemeClr>
            </a:solidFill>
            <a:ln w="9525">
              <a:solidFill>
                <a:schemeClr val="accent4">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4"/>
            </a:solidFill>
            <a:round/>
          </a:ln>
          <a:effectLst/>
        </c:spPr>
        <c:marker>
          <c:symbol val="circle"/>
          <c:size val="5"/>
          <c:spPr>
            <a:solidFill>
              <a:schemeClr val="accent4">
                <a:tint val="65000"/>
              </a:schemeClr>
            </a:solidFill>
            <a:ln w="9525">
              <a:solidFill>
                <a:schemeClr val="accent4">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Trend Analysis'!$B$1</c:f>
              <c:strCache>
                <c:ptCount val="1"/>
                <c:pt idx="0">
                  <c:v>Sum of Resolution Rate</c:v>
                </c:pt>
              </c:strCache>
            </c:strRef>
          </c:tx>
          <c:spPr>
            <a:ln w="28575" cap="rnd">
              <a:solidFill>
                <a:schemeClr val="accent4">
                  <a:shade val="65000"/>
                </a:schemeClr>
              </a:solidFill>
              <a:round/>
            </a:ln>
            <a:effectLst/>
          </c:spPr>
          <c:marker>
            <c:symbol val="circle"/>
            <c:size val="5"/>
            <c:spPr>
              <a:solidFill>
                <a:schemeClr val="accent4">
                  <a:shade val="65000"/>
                </a:schemeClr>
              </a:solidFill>
              <a:ln w="9525">
                <a:solidFill>
                  <a:schemeClr val="accent4">
                    <a:shade val="6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Trend Analysis'!$A$2</c:f>
              <c:strCache>
                <c:ptCount val="1"/>
                <c:pt idx="0">
                  <c:v>Grand Total</c:v>
                </c:pt>
              </c:strCache>
            </c:strRef>
          </c:cat>
          <c:val>
            <c:numRef>
              <c:f>'Time Trend Analysis'!$B$2</c:f>
              <c:numCache>
                <c:formatCode>General</c:formatCode>
                <c:ptCount val="1"/>
              </c:numCache>
            </c:numRef>
          </c:val>
          <c:smooth val="0"/>
          <c:extLst>
            <c:ext xmlns:c16="http://schemas.microsoft.com/office/drawing/2014/chart" uri="{C3380CC4-5D6E-409C-BE32-E72D297353CC}">
              <c16:uniqueId val="{00000000-B00F-4397-A7EE-558514484A7B}"/>
            </c:ext>
          </c:extLst>
        </c:ser>
        <c:ser>
          <c:idx val="1"/>
          <c:order val="1"/>
          <c:tx>
            <c:strRef>
              <c:f>'Time Trend Analysis'!$C$1</c:f>
              <c:strCache>
                <c:ptCount val="1"/>
                <c:pt idx="0">
                  <c:v>Average of Service Rating</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Trend Analysis'!$A$2</c:f>
              <c:strCache>
                <c:ptCount val="1"/>
                <c:pt idx="0">
                  <c:v>Grand Total</c:v>
                </c:pt>
              </c:strCache>
            </c:strRef>
          </c:cat>
          <c:val>
            <c:numRef>
              <c:f>'Time Trend Analysis'!$C$2</c:f>
              <c:numCache>
                <c:formatCode>General</c:formatCode>
                <c:ptCount val="1"/>
              </c:numCache>
            </c:numRef>
          </c:val>
          <c:smooth val="0"/>
          <c:extLst>
            <c:ext xmlns:c16="http://schemas.microsoft.com/office/drawing/2014/chart" uri="{C3380CC4-5D6E-409C-BE32-E72D297353CC}">
              <c16:uniqueId val="{00000001-B00F-4397-A7EE-558514484A7B}"/>
            </c:ext>
          </c:extLst>
        </c:ser>
        <c:ser>
          <c:idx val="2"/>
          <c:order val="2"/>
          <c:tx>
            <c:strRef>
              <c:f>'Time Trend Analysis'!$D$1</c:f>
              <c:strCache>
                <c:ptCount val="1"/>
                <c:pt idx="0">
                  <c:v>Sum of NPS</c:v>
                </c:pt>
              </c:strCache>
            </c:strRef>
          </c:tx>
          <c:spPr>
            <a:ln w="28575" cap="rnd">
              <a:solidFill>
                <a:schemeClr val="accent4">
                  <a:tint val="65000"/>
                </a:schemeClr>
              </a:solidFill>
              <a:round/>
            </a:ln>
            <a:effectLst/>
          </c:spPr>
          <c:marker>
            <c:symbol val="circle"/>
            <c:size val="5"/>
            <c:spPr>
              <a:solidFill>
                <a:schemeClr val="accent4">
                  <a:tint val="65000"/>
                </a:schemeClr>
              </a:solidFill>
              <a:ln w="9525">
                <a:solidFill>
                  <a:schemeClr val="accent4">
                    <a:tint val="6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Trend Analysis'!$A$2</c:f>
              <c:strCache>
                <c:ptCount val="1"/>
                <c:pt idx="0">
                  <c:v>Grand Total</c:v>
                </c:pt>
              </c:strCache>
            </c:strRef>
          </c:cat>
          <c:val>
            <c:numRef>
              <c:f>'Time Trend Analysis'!$D$2</c:f>
              <c:numCache>
                <c:formatCode>General</c:formatCode>
                <c:ptCount val="1"/>
              </c:numCache>
            </c:numRef>
          </c:val>
          <c:smooth val="0"/>
          <c:extLst>
            <c:ext xmlns:c16="http://schemas.microsoft.com/office/drawing/2014/chart" uri="{C3380CC4-5D6E-409C-BE32-E72D297353CC}">
              <c16:uniqueId val="{00000002-B00F-4397-A7EE-558514484A7B}"/>
            </c:ext>
          </c:extLst>
        </c:ser>
        <c:dLbls>
          <c:dLblPos val="t"/>
          <c:showLegendKey val="0"/>
          <c:showVal val="1"/>
          <c:showCatName val="0"/>
          <c:showSerName val="0"/>
          <c:showPercent val="0"/>
          <c:showBubbleSize val="0"/>
        </c:dLbls>
        <c:marker val="1"/>
        <c:smooth val="0"/>
        <c:axId val="1985474784"/>
        <c:axId val="1985481984"/>
      </c:lineChart>
      <c:catAx>
        <c:axId val="198547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481984"/>
        <c:crosses val="autoZero"/>
        <c:auto val="1"/>
        <c:lblAlgn val="ctr"/>
        <c:lblOffset val="100"/>
        <c:noMultiLvlLbl val="0"/>
      </c:catAx>
      <c:valAx>
        <c:axId val="198548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47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Service</a:t>
            </a:r>
            <a:r>
              <a:rPr lang="en-IN" sz="1600" b="1" baseline="0"/>
              <a:t> Rating</a:t>
            </a:r>
            <a:endParaRPr lang="en-IN" sz="1600" b="1"/>
          </a:p>
        </c:rich>
      </c:tx>
      <c:layout>
        <c:manualLayout>
          <c:xMode val="edge"/>
          <c:yMode val="edge"/>
          <c:x val="0.37774300087489066"/>
          <c:y val="2.7777777777777776E-2"/>
        </c:manualLayout>
      </c:layout>
      <c:overlay val="0"/>
      <c:spPr>
        <a:solidFill>
          <a:schemeClr val="accent5">
            <a:lumMod val="40000"/>
            <a:lumOff val="60000"/>
          </a:schemeClr>
        </a:solid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'servive rating distribution'!$A$1</c:f>
              <c:strCache>
                <c:ptCount val="1"/>
                <c:pt idx="0">
                  <c:v>Rating</c:v>
                </c:pt>
              </c:strCache>
            </c:strRef>
          </c:tx>
          <c:spPr>
            <a:solidFill>
              <a:schemeClr val="accent1"/>
            </a:solidFill>
            <a:ln>
              <a:noFill/>
            </a:ln>
            <a:effectLst/>
          </c:spPr>
          <c:invertIfNegative val="0"/>
          <c:val>
            <c:numRef>
              <c:f>'servive rating distribution'!$A$2:$A$6</c:f>
              <c:numCache>
                <c:formatCode>General</c:formatCode>
                <c:ptCount val="5"/>
                <c:pt idx="0">
                  <c:v>1</c:v>
                </c:pt>
                <c:pt idx="1">
                  <c:v>2</c:v>
                </c:pt>
                <c:pt idx="2">
                  <c:v>3</c:v>
                </c:pt>
                <c:pt idx="3">
                  <c:v>4</c:v>
                </c:pt>
                <c:pt idx="4">
                  <c:v>5</c:v>
                </c:pt>
              </c:numCache>
            </c:numRef>
          </c:val>
          <c:extLst>
            <c:ext xmlns:c16="http://schemas.microsoft.com/office/drawing/2014/chart" uri="{C3380CC4-5D6E-409C-BE32-E72D297353CC}">
              <c16:uniqueId val="{00000000-6E7E-480F-B436-4E1943F6ECC3}"/>
            </c:ext>
          </c:extLst>
        </c:ser>
        <c:ser>
          <c:idx val="1"/>
          <c:order val="1"/>
          <c:tx>
            <c:strRef>
              <c:f>'servive rating distribution'!$B$1</c:f>
              <c:strCache>
                <c:ptCount val="1"/>
                <c:pt idx="0">
                  <c:v>count</c:v>
                </c:pt>
              </c:strCache>
            </c:strRef>
          </c:tx>
          <c:spPr>
            <a:solidFill>
              <a:schemeClr val="accent2"/>
            </a:solidFill>
            <a:ln>
              <a:noFill/>
            </a:ln>
            <a:effectLst/>
          </c:spPr>
          <c:invertIfNegative val="0"/>
          <c:val>
            <c:numRef>
              <c:f>'servive rating distribution'!$B$2:$B$6</c:f>
              <c:numCache>
                <c:formatCode>General</c:formatCode>
                <c:ptCount val="5"/>
                <c:pt idx="0">
                  <c:v>22</c:v>
                </c:pt>
                <c:pt idx="1">
                  <c:v>16</c:v>
                </c:pt>
                <c:pt idx="2">
                  <c:v>19</c:v>
                </c:pt>
                <c:pt idx="3">
                  <c:v>20</c:v>
                </c:pt>
                <c:pt idx="4">
                  <c:v>23</c:v>
                </c:pt>
              </c:numCache>
            </c:numRef>
          </c:val>
          <c:extLst>
            <c:ext xmlns:c16="http://schemas.microsoft.com/office/drawing/2014/chart" uri="{C3380CC4-5D6E-409C-BE32-E72D297353CC}">
              <c16:uniqueId val="{00000001-6E7E-480F-B436-4E1943F6ECC3}"/>
            </c:ext>
          </c:extLst>
        </c:ser>
        <c:ser>
          <c:idx val="2"/>
          <c:order val="2"/>
          <c:tx>
            <c:strRef>
              <c:f>'servive rating distribution'!$C$1</c:f>
              <c:strCache>
                <c:ptCount val="1"/>
                <c:pt idx="0">
                  <c:v>percentage%</c:v>
                </c:pt>
              </c:strCache>
            </c:strRef>
          </c:tx>
          <c:spPr>
            <a:solidFill>
              <a:schemeClr val="accent3"/>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3-6E7E-480F-B436-4E1943F6ECC3}"/>
              </c:ext>
            </c:extLst>
          </c:dPt>
          <c:dPt>
            <c:idx val="1"/>
            <c:invertIfNegative val="0"/>
            <c:bubble3D val="0"/>
            <c:spPr>
              <a:solidFill>
                <a:srgbClr val="FFC000"/>
              </a:solidFill>
              <a:ln>
                <a:noFill/>
              </a:ln>
              <a:effectLst/>
            </c:spPr>
            <c:extLst>
              <c:ext xmlns:c16="http://schemas.microsoft.com/office/drawing/2014/chart" uri="{C3380CC4-5D6E-409C-BE32-E72D297353CC}">
                <c16:uniqueId val="{00000004-6E7E-480F-B436-4E1943F6ECC3}"/>
              </c:ext>
            </c:extLst>
          </c:dPt>
          <c:dPt>
            <c:idx val="2"/>
            <c:invertIfNegative val="0"/>
            <c:bubble3D val="0"/>
            <c:spPr>
              <a:solidFill>
                <a:srgbClr val="FFFF00"/>
              </a:solidFill>
              <a:ln>
                <a:noFill/>
              </a:ln>
              <a:effectLst/>
            </c:spPr>
            <c:extLst>
              <c:ext xmlns:c16="http://schemas.microsoft.com/office/drawing/2014/chart" uri="{C3380CC4-5D6E-409C-BE32-E72D297353CC}">
                <c16:uniqueId val="{00000005-6E7E-480F-B436-4E1943F6ECC3}"/>
              </c:ext>
            </c:extLst>
          </c:dPt>
          <c:dPt>
            <c:idx val="3"/>
            <c:invertIfNegative val="0"/>
            <c:bubble3D val="0"/>
            <c:spPr>
              <a:solidFill>
                <a:srgbClr val="92D050"/>
              </a:solidFill>
              <a:ln>
                <a:noFill/>
              </a:ln>
              <a:effectLst/>
            </c:spPr>
            <c:extLst>
              <c:ext xmlns:c16="http://schemas.microsoft.com/office/drawing/2014/chart" uri="{C3380CC4-5D6E-409C-BE32-E72D297353CC}">
                <c16:uniqueId val="{00000006-6E7E-480F-B436-4E1943F6ECC3}"/>
              </c:ext>
            </c:extLst>
          </c:dPt>
          <c:dPt>
            <c:idx val="4"/>
            <c:invertIfNegative val="0"/>
            <c:bubble3D val="0"/>
            <c:spPr>
              <a:solidFill>
                <a:srgbClr val="00B050"/>
              </a:solidFill>
              <a:ln>
                <a:noFill/>
              </a:ln>
              <a:effectLst/>
            </c:spPr>
            <c:extLst>
              <c:ext xmlns:c16="http://schemas.microsoft.com/office/drawing/2014/chart" uri="{C3380CC4-5D6E-409C-BE32-E72D297353CC}">
                <c16:uniqueId val="{00000007-6E7E-480F-B436-4E1943F6ECC3}"/>
              </c:ext>
            </c:extLst>
          </c:dPt>
          <c:val>
            <c:numRef>
              <c:f>'servive rating distribution'!$C$2:$C$6</c:f>
              <c:numCache>
                <c:formatCode>General</c:formatCode>
                <c:ptCount val="5"/>
                <c:pt idx="0">
                  <c:v>22</c:v>
                </c:pt>
                <c:pt idx="1">
                  <c:v>16</c:v>
                </c:pt>
                <c:pt idx="2">
                  <c:v>19</c:v>
                </c:pt>
                <c:pt idx="3">
                  <c:v>20</c:v>
                </c:pt>
                <c:pt idx="4">
                  <c:v>23</c:v>
                </c:pt>
              </c:numCache>
            </c:numRef>
          </c:val>
          <c:extLst>
            <c:ext xmlns:c16="http://schemas.microsoft.com/office/drawing/2014/chart" uri="{C3380CC4-5D6E-409C-BE32-E72D297353CC}">
              <c16:uniqueId val="{00000002-6E7E-480F-B436-4E1943F6ECC3}"/>
            </c:ext>
          </c:extLst>
        </c:ser>
        <c:dLbls>
          <c:showLegendKey val="0"/>
          <c:showVal val="0"/>
          <c:showCatName val="0"/>
          <c:showSerName val="0"/>
          <c:showPercent val="0"/>
          <c:showBubbleSize val="0"/>
        </c:dLbls>
        <c:gapWidth val="182"/>
        <c:axId val="994410383"/>
        <c:axId val="994410863"/>
      </c:barChart>
      <c:catAx>
        <c:axId val="9944103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410863"/>
        <c:crosses val="autoZero"/>
        <c:auto val="1"/>
        <c:lblAlgn val="ctr"/>
        <c:lblOffset val="100"/>
        <c:noMultiLvlLbl val="0"/>
      </c:catAx>
      <c:valAx>
        <c:axId val="994410863"/>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410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miniproject 2.xlsx]Time Trend Analysis!PivotTable16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Time Trend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circle"/>
          <c:size val="5"/>
          <c:spPr>
            <a:solidFill>
              <a:schemeClr val="accent4">
                <a:shade val="65000"/>
              </a:schemeClr>
            </a:solidFill>
            <a:ln w="9525">
              <a:solidFill>
                <a:schemeClr val="accent4">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tint val="65000"/>
              </a:schemeClr>
            </a:solidFill>
            <a:ln w="9525">
              <a:solidFill>
                <a:schemeClr val="accent4">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Trend Analysis'!$B$1</c:f>
              <c:strCache>
                <c:ptCount val="1"/>
                <c:pt idx="0">
                  <c:v>Sum of Resolution Rate</c:v>
                </c:pt>
              </c:strCache>
            </c:strRef>
          </c:tx>
          <c:spPr>
            <a:ln w="28575" cap="rnd">
              <a:solidFill>
                <a:schemeClr val="accent4">
                  <a:shade val="65000"/>
                </a:schemeClr>
              </a:solidFill>
              <a:round/>
            </a:ln>
            <a:effectLst/>
          </c:spPr>
          <c:marker>
            <c:symbol val="circle"/>
            <c:size val="5"/>
            <c:spPr>
              <a:solidFill>
                <a:schemeClr val="accent4">
                  <a:shade val="65000"/>
                </a:schemeClr>
              </a:solidFill>
              <a:ln w="9525">
                <a:solidFill>
                  <a:schemeClr val="accent4">
                    <a:shade val="6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Trend Analysis'!$A$2</c:f>
              <c:strCache>
                <c:ptCount val="1"/>
                <c:pt idx="0">
                  <c:v>Grand Total</c:v>
                </c:pt>
              </c:strCache>
            </c:strRef>
          </c:cat>
          <c:val>
            <c:numRef>
              <c:f>'Time Trend Analysis'!$B$2</c:f>
              <c:numCache>
                <c:formatCode>General</c:formatCode>
                <c:ptCount val="1"/>
              </c:numCache>
            </c:numRef>
          </c:val>
          <c:smooth val="0"/>
          <c:extLst>
            <c:ext xmlns:c16="http://schemas.microsoft.com/office/drawing/2014/chart" uri="{C3380CC4-5D6E-409C-BE32-E72D297353CC}">
              <c16:uniqueId val="{00000000-F54D-4750-8EE4-08BFEDB9DD94}"/>
            </c:ext>
          </c:extLst>
        </c:ser>
        <c:ser>
          <c:idx val="1"/>
          <c:order val="1"/>
          <c:tx>
            <c:strRef>
              <c:f>'Time Trend Analysis'!$C$1</c:f>
              <c:strCache>
                <c:ptCount val="1"/>
                <c:pt idx="0">
                  <c:v>Average of Service Rating</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Trend Analysis'!$A$2</c:f>
              <c:strCache>
                <c:ptCount val="1"/>
                <c:pt idx="0">
                  <c:v>Grand Total</c:v>
                </c:pt>
              </c:strCache>
            </c:strRef>
          </c:cat>
          <c:val>
            <c:numRef>
              <c:f>'Time Trend Analysis'!$C$2</c:f>
              <c:numCache>
                <c:formatCode>General</c:formatCode>
                <c:ptCount val="1"/>
              </c:numCache>
            </c:numRef>
          </c:val>
          <c:smooth val="0"/>
          <c:extLst>
            <c:ext xmlns:c16="http://schemas.microsoft.com/office/drawing/2014/chart" uri="{C3380CC4-5D6E-409C-BE32-E72D297353CC}">
              <c16:uniqueId val="{00000001-F54D-4750-8EE4-08BFEDB9DD94}"/>
            </c:ext>
          </c:extLst>
        </c:ser>
        <c:ser>
          <c:idx val="2"/>
          <c:order val="2"/>
          <c:tx>
            <c:strRef>
              <c:f>'Time Trend Analysis'!$D$1</c:f>
              <c:strCache>
                <c:ptCount val="1"/>
                <c:pt idx="0">
                  <c:v>Sum of NPS</c:v>
                </c:pt>
              </c:strCache>
            </c:strRef>
          </c:tx>
          <c:spPr>
            <a:ln w="28575" cap="rnd">
              <a:solidFill>
                <a:schemeClr val="accent4">
                  <a:tint val="65000"/>
                </a:schemeClr>
              </a:solidFill>
              <a:round/>
            </a:ln>
            <a:effectLst/>
          </c:spPr>
          <c:marker>
            <c:symbol val="circle"/>
            <c:size val="5"/>
            <c:spPr>
              <a:solidFill>
                <a:schemeClr val="accent4">
                  <a:tint val="65000"/>
                </a:schemeClr>
              </a:solidFill>
              <a:ln w="9525">
                <a:solidFill>
                  <a:schemeClr val="accent4">
                    <a:tint val="6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Trend Analysis'!$A$2</c:f>
              <c:strCache>
                <c:ptCount val="1"/>
                <c:pt idx="0">
                  <c:v>Grand Total</c:v>
                </c:pt>
              </c:strCache>
            </c:strRef>
          </c:cat>
          <c:val>
            <c:numRef>
              <c:f>'Time Trend Analysis'!$D$2</c:f>
              <c:numCache>
                <c:formatCode>General</c:formatCode>
                <c:ptCount val="1"/>
              </c:numCache>
            </c:numRef>
          </c:val>
          <c:smooth val="0"/>
          <c:extLst>
            <c:ext xmlns:c16="http://schemas.microsoft.com/office/drawing/2014/chart" uri="{C3380CC4-5D6E-409C-BE32-E72D297353CC}">
              <c16:uniqueId val="{00000002-F54D-4750-8EE4-08BFEDB9DD94}"/>
            </c:ext>
          </c:extLst>
        </c:ser>
        <c:dLbls>
          <c:dLblPos val="t"/>
          <c:showLegendKey val="0"/>
          <c:showVal val="1"/>
          <c:showCatName val="0"/>
          <c:showSerName val="0"/>
          <c:showPercent val="0"/>
          <c:showBubbleSize val="0"/>
        </c:dLbls>
        <c:marker val="1"/>
        <c:smooth val="0"/>
        <c:axId val="1985474784"/>
        <c:axId val="1985481984"/>
      </c:lineChart>
      <c:catAx>
        <c:axId val="198547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481984"/>
        <c:crosses val="autoZero"/>
        <c:auto val="1"/>
        <c:lblAlgn val="ctr"/>
        <c:lblOffset val="100"/>
        <c:noMultiLvlLbl val="0"/>
      </c:catAx>
      <c:valAx>
        <c:axId val="198548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47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solidFill>
              <a:srgbClr val="FF0000"/>
            </a:solidFill>
          </c:spPr>
          <c:dPt>
            <c:idx val="0"/>
            <c:bubble3D val="0"/>
            <c:spPr>
              <a:solidFill>
                <a:srgbClr val="FF0000"/>
              </a:solidFill>
              <a:ln w="19050">
                <a:solidFill>
                  <a:schemeClr val="bg2">
                    <a:lumMod val="10000"/>
                  </a:schemeClr>
                </a:solidFill>
              </a:ln>
              <a:effectLst/>
            </c:spPr>
            <c:extLst>
              <c:ext xmlns:c16="http://schemas.microsoft.com/office/drawing/2014/chart" uri="{C3380CC4-5D6E-409C-BE32-E72D297353CC}">
                <c16:uniqueId val="{00000002-851B-412B-A754-5DE2F6873E76}"/>
              </c:ext>
            </c:extLst>
          </c:dPt>
          <c:dPt>
            <c:idx val="1"/>
            <c:bubble3D val="0"/>
            <c:spPr>
              <a:solidFill>
                <a:srgbClr val="FFFF00"/>
              </a:solidFill>
              <a:ln w="19050">
                <a:solidFill>
                  <a:schemeClr val="tx1">
                    <a:lumMod val="95000"/>
                    <a:lumOff val="5000"/>
                  </a:schemeClr>
                </a:solidFill>
              </a:ln>
              <a:effectLst/>
            </c:spPr>
            <c:extLst>
              <c:ext xmlns:c16="http://schemas.microsoft.com/office/drawing/2014/chart" uri="{C3380CC4-5D6E-409C-BE32-E72D297353CC}">
                <c16:uniqueId val="{00000003-851B-412B-A754-5DE2F6873E76}"/>
              </c:ext>
            </c:extLst>
          </c:dPt>
          <c:dPt>
            <c:idx val="2"/>
            <c:bubble3D val="0"/>
            <c:spPr>
              <a:solidFill>
                <a:srgbClr val="92D050"/>
              </a:solidFill>
              <a:ln w="19050">
                <a:solidFill>
                  <a:schemeClr val="tx1">
                    <a:lumMod val="95000"/>
                    <a:lumOff val="5000"/>
                  </a:schemeClr>
                </a:solidFill>
              </a:ln>
              <a:effectLst/>
            </c:spPr>
            <c:extLst>
              <c:ext xmlns:c16="http://schemas.microsoft.com/office/drawing/2014/chart" uri="{C3380CC4-5D6E-409C-BE32-E72D297353CC}">
                <c16:uniqueId val="{00000001-851B-412B-A754-5DE2F6873E76}"/>
              </c:ext>
            </c:extLst>
          </c:dPt>
          <c:cat>
            <c:strRef>
              <c:f>Calculation!$A$6:$A$8</c:f>
              <c:strCache>
                <c:ptCount val="3"/>
                <c:pt idx="0">
                  <c:v>Bad (Red)</c:v>
                </c:pt>
                <c:pt idx="1">
                  <c:v>Neutral (Yellow)</c:v>
                </c:pt>
                <c:pt idx="2">
                  <c:v>Good (Green)</c:v>
                </c:pt>
              </c:strCache>
            </c:strRef>
          </c:cat>
          <c:val>
            <c:numRef>
              <c:f>Calculation!$B$6:$B$8</c:f>
              <c:numCache>
                <c:formatCode>General</c:formatCode>
                <c:ptCount val="3"/>
                <c:pt idx="0">
                  <c:v>33</c:v>
                </c:pt>
                <c:pt idx="1">
                  <c:v>34</c:v>
                </c:pt>
                <c:pt idx="2">
                  <c:v>33</c:v>
                </c:pt>
              </c:numCache>
            </c:numRef>
          </c:val>
          <c:extLst>
            <c:ext xmlns:c16="http://schemas.microsoft.com/office/drawing/2014/chart" uri="{C3380CC4-5D6E-409C-BE32-E72D297353CC}">
              <c16:uniqueId val="{00000000-851B-412B-A754-5DE2F6873E76}"/>
            </c:ext>
          </c:extLst>
        </c:ser>
        <c:dLbls>
          <c:showLegendKey val="0"/>
          <c:showVal val="0"/>
          <c:showCatName val="0"/>
          <c:showSerName val="0"/>
          <c:showPercent val="0"/>
          <c:showBubbleSize val="0"/>
          <c:showLeaderLines val="1"/>
        </c:dLbls>
        <c:firstSliceAng val="27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Response Time Distribution</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Response Time Distribution</a:t>
          </a:r>
        </a:p>
      </cx:txPr>
    </cx:title>
    <cx:plotArea>
      <cx:plotAreaRegion>
        <cx:series layoutId="clusteredColumn" uniqueId="{9EC82F68-30CC-494B-9FDE-008278C05497}">
          <cx:dataLabels pos="inEnd">
            <cx:visibility seriesName="0" categoryName="0" value="1"/>
          </cx:dataLabels>
          <cx:dataId val="0"/>
          <cx:layoutPr>
            <cx:binning intervalClosed="r"/>
          </cx:layoutPr>
        </cx:series>
      </cx:plotAreaRegion>
      <cx:axis id="0">
        <cx:catScaling gapWidth="0"/>
        <cx:tickLabels/>
      </cx:axis>
      <cx:axis id="1" hidden="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Response Time Distribution</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Response Time Distribution</a:t>
          </a:r>
        </a:p>
      </cx:txPr>
    </cx:title>
    <cx:plotArea>
      <cx:plotAreaRegion>
        <cx:series layoutId="clusteredColumn" uniqueId="{9EC82F68-30CC-494B-9FDE-008278C05497}">
          <cx:dataLabels pos="inEnd">
            <cx:visibility seriesName="0" categoryName="0" value="1"/>
          </cx:dataLabels>
          <cx:dataId val="0"/>
          <cx:layoutPr>
            <cx:binning intervalClosed="r"/>
          </cx:layoutPr>
        </cx:series>
      </cx:plotAreaRegion>
      <cx:axis id="0">
        <cx:catScaling gapWidth="0"/>
        <cx:tickLabels/>
      </cx:axis>
      <cx:axis id="1" hidden="1">
        <cx:valScaling/>
        <cx:majorGridlines/>
        <cx:tickLabels/>
      </cx:axis>
    </cx:plotArea>
  </cx:chart>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Reversed" id="25">
  <a:schemeClr val="accent5"/>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chart" Target="../charts/chart8.xml"/><Relationship Id="rId10" Type="http://schemas.openxmlformats.org/officeDocument/2006/relationships/chart" Target="../charts/chart12.xml"/><Relationship Id="rId4" Type="http://schemas.openxmlformats.org/officeDocument/2006/relationships/chart" Target="../charts/chart7.xml"/><Relationship Id="rId9"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xdr:col>
      <xdr:colOff>426720</xdr:colOff>
      <xdr:row>0</xdr:row>
      <xdr:rowOff>3810</xdr:rowOff>
    </xdr:from>
    <xdr:to>
      <xdr:col>10</xdr:col>
      <xdr:colOff>121920</xdr:colOff>
      <xdr:row>15</xdr:row>
      <xdr:rowOff>3810</xdr:rowOff>
    </xdr:to>
    <xdr:graphicFrame macro="">
      <xdr:nvGraphicFramePr>
        <xdr:cNvPr id="3" name="Chart 2">
          <a:extLst>
            <a:ext uri="{FF2B5EF4-FFF2-40B4-BE49-F238E27FC236}">
              <a16:creationId xmlns:a16="http://schemas.microsoft.com/office/drawing/2014/main" id="{51EC1FFE-F490-7732-04D9-91CC67FC0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137160</xdr:colOff>
      <xdr:row>0</xdr:row>
      <xdr:rowOff>7620</xdr:rowOff>
    </xdr:from>
    <xdr:to>
      <xdr:col>6</xdr:col>
      <xdr:colOff>137160</xdr:colOff>
      <xdr:row>13</xdr:row>
      <xdr:rowOff>97155</xdr:rowOff>
    </xdr:to>
    <mc:AlternateContent xmlns:mc="http://schemas.openxmlformats.org/markup-compatibility/2006" xmlns:a14="http://schemas.microsoft.com/office/drawing/2010/main">
      <mc:Choice Requires="a14">
        <xdr:graphicFrame macro="">
          <xdr:nvGraphicFramePr>
            <xdr:cNvPr id="2" name="Service Rating">
              <a:extLst>
                <a:ext uri="{FF2B5EF4-FFF2-40B4-BE49-F238E27FC236}">
                  <a16:creationId xmlns:a16="http://schemas.microsoft.com/office/drawing/2014/main" id="{CA37BAF3-2A43-125A-02B0-69668412B05B}"/>
                </a:ext>
              </a:extLst>
            </xdr:cNvPr>
            <xdr:cNvGraphicFramePr/>
          </xdr:nvGraphicFramePr>
          <xdr:xfrm>
            <a:off x="0" y="0"/>
            <a:ext cx="0" cy="0"/>
          </xdr:xfrm>
          <a:graphic>
            <a:graphicData uri="http://schemas.microsoft.com/office/drawing/2010/slicer">
              <sle:slicer xmlns:sle="http://schemas.microsoft.com/office/drawing/2010/slicer" name="Service Rating"/>
            </a:graphicData>
          </a:graphic>
        </xdr:graphicFrame>
      </mc:Choice>
      <mc:Fallback xmlns="">
        <xdr:sp macro="" textlink="">
          <xdr:nvSpPr>
            <xdr:cNvPr id="0" name=""/>
            <xdr:cNvSpPr>
              <a:spLocks noTextEdit="1"/>
            </xdr:cNvSpPr>
          </xdr:nvSpPr>
          <xdr:spPr>
            <a:xfrm>
              <a:off x="1965960" y="7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198120</xdr:colOff>
      <xdr:row>0</xdr:row>
      <xdr:rowOff>76200</xdr:rowOff>
    </xdr:from>
    <xdr:to>
      <xdr:col>9</xdr:col>
      <xdr:colOff>198120</xdr:colOff>
      <xdr:row>13</xdr:row>
      <xdr:rowOff>165735</xdr:rowOff>
    </xdr:to>
    <mc:AlternateContent xmlns:mc="http://schemas.openxmlformats.org/markup-compatibility/2006" xmlns:a14="http://schemas.microsoft.com/office/drawing/2010/main">
      <mc:Choice Requires="a14">
        <xdr:graphicFrame macro="">
          <xdr:nvGraphicFramePr>
            <xdr:cNvPr id="3" name="Feedback Category">
              <a:extLst>
                <a:ext uri="{FF2B5EF4-FFF2-40B4-BE49-F238E27FC236}">
                  <a16:creationId xmlns:a16="http://schemas.microsoft.com/office/drawing/2014/main" id="{B9A85C12-7C89-C7FD-55A2-9E8035912267}"/>
                </a:ext>
              </a:extLst>
            </xdr:cNvPr>
            <xdr:cNvGraphicFramePr/>
          </xdr:nvGraphicFramePr>
          <xdr:xfrm>
            <a:off x="0" y="0"/>
            <a:ext cx="0" cy="0"/>
          </xdr:xfrm>
          <a:graphic>
            <a:graphicData uri="http://schemas.microsoft.com/office/drawing/2010/slicer">
              <sle:slicer xmlns:sle="http://schemas.microsoft.com/office/drawing/2010/slicer" name="Feedback Category"/>
            </a:graphicData>
          </a:graphic>
        </xdr:graphicFrame>
      </mc:Choice>
      <mc:Fallback xmlns="">
        <xdr:sp macro="" textlink="">
          <xdr:nvSpPr>
            <xdr:cNvPr id="0" name=""/>
            <xdr:cNvSpPr>
              <a:spLocks noTextEdit="1"/>
            </xdr:cNvSpPr>
          </xdr:nvSpPr>
          <xdr:spPr>
            <a:xfrm>
              <a:off x="3855720" y="76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304800</xdr:colOff>
      <xdr:row>0</xdr:row>
      <xdr:rowOff>114300</xdr:rowOff>
    </xdr:from>
    <xdr:to>
      <xdr:col>12</xdr:col>
      <xdr:colOff>304800</xdr:colOff>
      <xdr:row>14</xdr:row>
      <xdr:rowOff>20955</xdr:rowOff>
    </xdr:to>
    <mc:AlternateContent xmlns:mc="http://schemas.openxmlformats.org/markup-compatibility/2006" xmlns:a14="http://schemas.microsoft.com/office/drawing/2010/main">
      <mc:Choice Requires="a14">
        <xdr:graphicFrame macro="">
          <xdr:nvGraphicFramePr>
            <xdr:cNvPr id="4" name="Issue Resolved">
              <a:extLst>
                <a:ext uri="{FF2B5EF4-FFF2-40B4-BE49-F238E27FC236}">
                  <a16:creationId xmlns:a16="http://schemas.microsoft.com/office/drawing/2014/main" id="{D57E6920-1F61-7A45-8EDE-4FDB1CD7DB6B}"/>
                </a:ext>
              </a:extLst>
            </xdr:cNvPr>
            <xdr:cNvGraphicFramePr/>
          </xdr:nvGraphicFramePr>
          <xdr:xfrm>
            <a:off x="0" y="0"/>
            <a:ext cx="0" cy="0"/>
          </xdr:xfrm>
          <a:graphic>
            <a:graphicData uri="http://schemas.microsoft.com/office/drawing/2010/slicer">
              <sle:slicer xmlns:sle="http://schemas.microsoft.com/office/drawing/2010/slicer" name="Issue Resolved"/>
            </a:graphicData>
          </a:graphic>
        </xdr:graphicFrame>
      </mc:Choice>
      <mc:Fallback xmlns="">
        <xdr:sp macro="" textlink="">
          <xdr:nvSpPr>
            <xdr:cNvPr id="0" name=""/>
            <xdr:cNvSpPr>
              <a:spLocks noTextEdit="1"/>
            </xdr:cNvSpPr>
          </xdr:nvSpPr>
          <xdr:spPr>
            <a:xfrm>
              <a:off x="5791200" y="114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327660</xdr:colOff>
      <xdr:row>2</xdr:row>
      <xdr:rowOff>15240</xdr:rowOff>
    </xdr:from>
    <xdr:to>
      <xdr:col>20</xdr:col>
      <xdr:colOff>0</xdr:colOff>
      <xdr:row>9</xdr:row>
      <xdr:rowOff>106680</xdr:rowOff>
    </xdr:to>
    <mc:AlternateContent xmlns:mc="http://schemas.openxmlformats.org/markup-compatibility/2006" xmlns:tsle="http://schemas.microsoft.com/office/drawing/2012/timeslicer">
      <mc:Choice Requires="tsle">
        <xdr:graphicFrame macro="">
          <xdr:nvGraphicFramePr>
            <xdr:cNvPr id="10" name="Date">
              <a:extLst>
                <a:ext uri="{FF2B5EF4-FFF2-40B4-BE49-F238E27FC236}">
                  <a16:creationId xmlns:a16="http://schemas.microsoft.com/office/drawing/2014/main" id="{93DDEEB2-CB77-44DA-9846-7A94213B0785}"/>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252460" y="381000"/>
              <a:ext cx="39395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594360</xdr:colOff>
      <xdr:row>1</xdr:row>
      <xdr:rowOff>76200</xdr:rowOff>
    </xdr:from>
    <xdr:to>
      <xdr:col>10</xdr:col>
      <xdr:colOff>289560</xdr:colOff>
      <xdr:row>16</xdr:row>
      <xdr:rowOff>76200</xdr:rowOff>
    </xdr:to>
    <xdr:graphicFrame macro="">
      <xdr:nvGraphicFramePr>
        <xdr:cNvPr id="2" name="Chart 1">
          <a:extLst>
            <a:ext uri="{FF2B5EF4-FFF2-40B4-BE49-F238E27FC236}">
              <a16:creationId xmlns:a16="http://schemas.microsoft.com/office/drawing/2014/main" id="{B72DD08D-2A26-A698-E81D-3432F1639B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464820</xdr:colOff>
      <xdr:row>2</xdr:row>
      <xdr:rowOff>114300</xdr:rowOff>
    </xdr:from>
    <xdr:to>
      <xdr:col>17</xdr:col>
      <xdr:colOff>152400</xdr:colOff>
      <xdr:row>16</xdr:row>
      <xdr:rowOff>114300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3168B3DA-9F79-4A80-B147-DE4E5B21E2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269480" y="480060"/>
              <a:ext cx="3954780" cy="25603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541020</xdr:colOff>
      <xdr:row>17</xdr:row>
      <xdr:rowOff>106680</xdr:rowOff>
    </xdr:from>
    <xdr:to>
      <xdr:col>11</xdr:col>
      <xdr:colOff>213360</xdr:colOff>
      <xdr:row>29</xdr:row>
      <xdr:rowOff>68580</xdr:rowOff>
    </xdr:to>
    <xdr:graphicFrame macro="">
      <xdr:nvGraphicFramePr>
        <xdr:cNvPr id="4" name="Chart 3">
          <a:extLst>
            <a:ext uri="{FF2B5EF4-FFF2-40B4-BE49-F238E27FC236}">
              <a16:creationId xmlns:a16="http://schemas.microsoft.com/office/drawing/2014/main" id="{7454350C-B7B7-49A5-A39F-D906AEB72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297180</xdr:colOff>
      <xdr:row>0</xdr:row>
      <xdr:rowOff>148590</xdr:rowOff>
    </xdr:from>
    <xdr:to>
      <xdr:col>12</xdr:col>
      <xdr:colOff>601980</xdr:colOff>
      <xdr:row>14</xdr:row>
      <xdr:rowOff>148590</xdr:rowOff>
    </xdr:to>
    <xdr:graphicFrame macro="">
      <xdr:nvGraphicFramePr>
        <xdr:cNvPr id="2" name="Chart 1">
          <a:extLst>
            <a:ext uri="{FF2B5EF4-FFF2-40B4-BE49-F238E27FC236}">
              <a16:creationId xmlns:a16="http://schemas.microsoft.com/office/drawing/2014/main" id="{AB308B89-F60E-6925-DF58-E4A67B541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236220</xdr:colOff>
      <xdr:row>15</xdr:row>
      <xdr:rowOff>34290</xdr:rowOff>
    </xdr:from>
    <xdr:to>
      <xdr:col>8</xdr:col>
      <xdr:colOff>342900</xdr:colOff>
      <xdr:row>24</xdr:row>
      <xdr:rowOff>60960</xdr:rowOff>
    </xdr:to>
    <xdr:graphicFrame macro="">
      <xdr:nvGraphicFramePr>
        <xdr:cNvPr id="3" name="Chart 2">
          <a:extLst>
            <a:ext uri="{FF2B5EF4-FFF2-40B4-BE49-F238E27FC236}">
              <a16:creationId xmlns:a16="http://schemas.microsoft.com/office/drawing/2014/main" id="{77A17CBC-ACCC-F382-8152-FBF50521BF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312420</xdr:colOff>
      <xdr:row>0</xdr:row>
      <xdr:rowOff>68580</xdr:rowOff>
    </xdr:from>
    <xdr:to>
      <xdr:col>16</xdr:col>
      <xdr:colOff>586740</xdr:colOff>
      <xdr:row>4</xdr:row>
      <xdr:rowOff>38100</xdr:rowOff>
    </xdr:to>
    <xdr:sp macro="" textlink="">
      <xdr:nvSpPr>
        <xdr:cNvPr id="3" name="Flowchart: Alternate Process 2">
          <a:extLst>
            <a:ext uri="{FF2B5EF4-FFF2-40B4-BE49-F238E27FC236}">
              <a16:creationId xmlns:a16="http://schemas.microsoft.com/office/drawing/2014/main" id="{CAB32222-4265-8D89-81CD-7F7743C79FB5}"/>
            </a:ext>
          </a:extLst>
        </xdr:cNvPr>
        <xdr:cNvSpPr/>
      </xdr:nvSpPr>
      <xdr:spPr>
        <a:xfrm>
          <a:off x="3970020" y="68580"/>
          <a:ext cx="6370320" cy="701040"/>
        </a:xfrm>
        <a:prstGeom prst="flowChartAlternateProcess">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IN" sz="2400" b="1" i="0" baseline="0">
              <a:solidFill>
                <a:schemeClr val="lt1"/>
              </a:solidFill>
              <a:effectLst/>
              <a:latin typeface="Britannic Bold" panose="020B0903060703020204" pitchFamily="34" charset="0"/>
              <a:ea typeface="+mn-ea"/>
              <a:cs typeface="+mn-cs"/>
            </a:rPr>
            <a:t>Customer Feedback Dashboard</a:t>
          </a:r>
          <a:endParaRPr lang="en-IN" sz="2400" b="1">
            <a:latin typeface="Britannic Bold" panose="020B0903060703020204" pitchFamily="34" charset="0"/>
          </a:endParaRPr>
        </a:p>
      </xdr:txBody>
    </xdr:sp>
    <xdr:clientData/>
  </xdr:twoCellAnchor>
  <xdr:twoCellAnchor editAs="oneCell">
    <xdr:from>
      <xdr:col>15</xdr:col>
      <xdr:colOff>152400</xdr:colOff>
      <xdr:row>0</xdr:row>
      <xdr:rowOff>175260</xdr:rowOff>
    </xdr:from>
    <xdr:to>
      <xdr:col>15</xdr:col>
      <xdr:colOff>594360</xdr:colOff>
      <xdr:row>3</xdr:row>
      <xdr:rowOff>68580</xdr:rowOff>
    </xdr:to>
    <xdr:pic>
      <xdr:nvPicPr>
        <xdr:cNvPr id="7" name="Graphic 6" descr="Bar graph with upward trend">
          <a:extLst>
            <a:ext uri="{FF2B5EF4-FFF2-40B4-BE49-F238E27FC236}">
              <a16:creationId xmlns:a16="http://schemas.microsoft.com/office/drawing/2014/main" id="{4869EB14-03D1-A739-C987-381F6FF5C9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96400" y="175260"/>
          <a:ext cx="441960" cy="441960"/>
        </a:xfrm>
        <a:prstGeom prst="rect">
          <a:avLst/>
        </a:prstGeom>
      </xdr:spPr>
    </xdr:pic>
    <xdr:clientData/>
  </xdr:twoCellAnchor>
  <xdr:twoCellAnchor>
    <xdr:from>
      <xdr:col>2</xdr:col>
      <xdr:colOff>243840</xdr:colOff>
      <xdr:row>3</xdr:row>
      <xdr:rowOff>106680</xdr:rowOff>
    </xdr:from>
    <xdr:to>
      <xdr:col>6</xdr:col>
      <xdr:colOff>144780</xdr:colOff>
      <xdr:row>9</xdr:row>
      <xdr:rowOff>106680</xdr:rowOff>
    </xdr:to>
    <xdr:sp macro="" textlink="KPI!B1">
      <xdr:nvSpPr>
        <xdr:cNvPr id="12" name="Oval 11">
          <a:extLst>
            <a:ext uri="{FF2B5EF4-FFF2-40B4-BE49-F238E27FC236}">
              <a16:creationId xmlns:a16="http://schemas.microsoft.com/office/drawing/2014/main" id="{4D3EC7B8-CBAE-D538-F9C0-832D1C1FA8F7}"/>
            </a:ext>
          </a:extLst>
        </xdr:cNvPr>
        <xdr:cNvSpPr/>
      </xdr:nvSpPr>
      <xdr:spPr>
        <a:xfrm>
          <a:off x="1104900" y="655320"/>
          <a:ext cx="2339340" cy="1097280"/>
        </a:xfrm>
        <a:prstGeom prst="ellipse">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1"/>
              </a:solidFill>
              <a:latin typeface="Aptos Narrow" panose="020B0004020202020204" pitchFamily="34" charset="0"/>
              <a:ea typeface="Calibri"/>
              <a:cs typeface="Calibri"/>
            </a:rPr>
            <a:t>Overall </a:t>
          </a:r>
          <a:r>
            <a:rPr lang="en-US" sz="1400" b="1" i="0" u="none" strike="noStrike">
              <a:solidFill>
                <a:schemeClr val="bg1"/>
              </a:solidFill>
              <a:latin typeface="Aptos Display" panose="020B0004020202020204" pitchFamily="34" charset="0"/>
              <a:ea typeface="Calibri"/>
              <a:cs typeface="Calibri"/>
            </a:rPr>
            <a:t>Satisfaction</a:t>
          </a:r>
          <a:r>
            <a:rPr lang="en-US" sz="1400" b="1" i="0" u="none" strike="noStrike">
              <a:solidFill>
                <a:schemeClr val="bg1"/>
              </a:solidFill>
              <a:latin typeface="Aptos Narrow" panose="020B0004020202020204" pitchFamily="34" charset="0"/>
              <a:ea typeface="Calibri"/>
              <a:cs typeface="Calibri"/>
            </a:rPr>
            <a:t> Score</a:t>
          </a:r>
        </a:p>
        <a:p>
          <a:pPr algn="ctr"/>
          <a:fld id="{E772A7D3-0CC2-4A54-AB9F-F755AB3AC5B8}" type="TxLink">
            <a:rPr lang="en-US" sz="1400" b="1" i="0" u="none" strike="noStrike">
              <a:solidFill>
                <a:schemeClr val="bg1"/>
              </a:solidFill>
              <a:latin typeface="Aptos Narrow" panose="020B0004020202020204" pitchFamily="34" charset="0"/>
              <a:ea typeface="Calibri"/>
              <a:cs typeface="Calibri"/>
            </a:rPr>
            <a:pPr algn="ctr"/>
            <a:t>1.2684</a:t>
          </a:fld>
          <a:endParaRPr lang="en-IN" sz="1400" b="1">
            <a:solidFill>
              <a:schemeClr val="bg1"/>
            </a:solidFill>
            <a:latin typeface="Aptos Narrow" panose="020B0004020202020204" pitchFamily="34" charset="0"/>
          </a:endParaRPr>
        </a:p>
      </xdr:txBody>
    </xdr:sp>
    <xdr:clientData/>
  </xdr:twoCellAnchor>
  <xdr:twoCellAnchor>
    <xdr:from>
      <xdr:col>6</xdr:col>
      <xdr:colOff>167640</xdr:colOff>
      <xdr:row>5</xdr:row>
      <xdr:rowOff>7620</xdr:rowOff>
    </xdr:from>
    <xdr:to>
      <xdr:col>10</xdr:col>
      <xdr:colOff>68580</xdr:colOff>
      <xdr:row>11</xdr:row>
      <xdr:rowOff>30480</xdr:rowOff>
    </xdr:to>
    <xdr:sp macro="" textlink="KPI!B3">
      <xdr:nvSpPr>
        <xdr:cNvPr id="13" name="Oval 12">
          <a:extLst>
            <a:ext uri="{FF2B5EF4-FFF2-40B4-BE49-F238E27FC236}">
              <a16:creationId xmlns:a16="http://schemas.microsoft.com/office/drawing/2014/main" id="{5EA2D732-86E2-45C3-8F8C-1379F6AA6C1A}"/>
            </a:ext>
          </a:extLst>
        </xdr:cNvPr>
        <xdr:cNvSpPr/>
      </xdr:nvSpPr>
      <xdr:spPr>
        <a:xfrm>
          <a:off x="3467100" y="922020"/>
          <a:ext cx="2339340" cy="1120140"/>
        </a:xfrm>
        <a:prstGeom prst="ellipse">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b="1" i="0" u="none" strike="noStrike">
              <a:solidFill>
                <a:schemeClr val="bg1"/>
              </a:solidFill>
              <a:latin typeface="Aptos Narrow" panose="020B0004020202020204" pitchFamily="34" charset="0"/>
              <a:ea typeface="Calibri"/>
              <a:cs typeface="Calibri"/>
            </a:rPr>
            <a:t>NPS Calculation</a:t>
          </a:r>
        </a:p>
        <a:p>
          <a:pPr marL="0" indent="0" algn="ctr"/>
          <a:fld id="{300591B3-C8B5-481B-BC47-3BE16442ABC4}" type="TxLink">
            <a:rPr lang="en-US" sz="1400" b="1" i="0" u="none" strike="noStrike">
              <a:solidFill>
                <a:schemeClr val="bg1"/>
              </a:solidFill>
              <a:latin typeface="Aptos Narrow" panose="020B0004020202020204" pitchFamily="34" charset="0"/>
              <a:ea typeface="Calibri"/>
              <a:cs typeface="Calibri"/>
            </a:rPr>
            <a:pPr marL="0" indent="0" algn="ctr"/>
            <a:t>5</a:t>
          </a:fld>
          <a:endParaRPr lang="en-IN" sz="1400" b="1" i="0" u="none" strike="noStrike">
            <a:solidFill>
              <a:schemeClr val="bg1"/>
            </a:solidFill>
            <a:latin typeface="Aptos Narrow" panose="020B0004020202020204" pitchFamily="34" charset="0"/>
            <a:ea typeface="Calibri"/>
            <a:cs typeface="Calibri"/>
          </a:endParaRPr>
        </a:p>
      </xdr:txBody>
    </xdr:sp>
    <xdr:clientData/>
  </xdr:twoCellAnchor>
  <xdr:twoCellAnchor>
    <xdr:from>
      <xdr:col>10</xdr:col>
      <xdr:colOff>198120</xdr:colOff>
      <xdr:row>4</xdr:row>
      <xdr:rowOff>129540</xdr:rowOff>
    </xdr:from>
    <xdr:to>
      <xdr:col>14</xdr:col>
      <xdr:colOff>99060</xdr:colOff>
      <xdr:row>10</xdr:row>
      <xdr:rowOff>137160</xdr:rowOff>
    </xdr:to>
    <xdr:sp macro="" textlink="KPI!B5">
      <xdr:nvSpPr>
        <xdr:cNvPr id="14" name="Oval 13">
          <a:extLst>
            <a:ext uri="{FF2B5EF4-FFF2-40B4-BE49-F238E27FC236}">
              <a16:creationId xmlns:a16="http://schemas.microsoft.com/office/drawing/2014/main" id="{EC7E89DE-DD7D-4203-A4A9-51A9DA972F84}"/>
            </a:ext>
          </a:extLst>
        </xdr:cNvPr>
        <xdr:cNvSpPr/>
      </xdr:nvSpPr>
      <xdr:spPr>
        <a:xfrm>
          <a:off x="5935980" y="861060"/>
          <a:ext cx="2339340" cy="1104900"/>
        </a:xfrm>
        <a:prstGeom prst="ellipse">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b="1" i="0" u="none" strike="noStrike">
              <a:solidFill>
                <a:schemeClr val="bg1"/>
              </a:solidFill>
              <a:latin typeface="Aptos Narrow" panose="020B0004020202020204" pitchFamily="34" charset="0"/>
              <a:ea typeface="Calibri"/>
              <a:cs typeface="Calibri"/>
            </a:rPr>
            <a:t>Issue Resolution Rate</a:t>
          </a:r>
        </a:p>
        <a:p>
          <a:pPr marL="0" indent="0" algn="ctr"/>
          <a:fld id="{9C7B6849-F991-405A-A6F9-80B99E057E7E}" type="TxLink">
            <a:rPr lang="en-US" sz="1400" b="1" i="0" u="none" strike="noStrike">
              <a:solidFill>
                <a:schemeClr val="bg1"/>
              </a:solidFill>
              <a:latin typeface="Aptos Narrow" panose="020B0004020202020204" pitchFamily="34" charset="0"/>
              <a:ea typeface="Calibri"/>
              <a:cs typeface="Calibri"/>
            </a:rPr>
            <a:pPr marL="0" indent="0" algn="ctr"/>
            <a:t>80</a:t>
          </a:fld>
          <a:endParaRPr lang="en-IN" sz="1400" b="1" i="0" u="none" strike="noStrike">
            <a:solidFill>
              <a:schemeClr val="bg1"/>
            </a:solidFill>
            <a:latin typeface="Aptos Narrow" panose="020B0004020202020204" pitchFamily="34" charset="0"/>
            <a:ea typeface="Calibri"/>
            <a:cs typeface="Calibri"/>
          </a:endParaRPr>
        </a:p>
      </xdr:txBody>
    </xdr:sp>
    <xdr:clientData/>
  </xdr:twoCellAnchor>
  <xdr:twoCellAnchor>
    <xdr:from>
      <xdr:col>14</xdr:col>
      <xdr:colOff>228600</xdr:colOff>
      <xdr:row>5</xdr:row>
      <xdr:rowOff>137160</xdr:rowOff>
    </xdr:from>
    <xdr:to>
      <xdr:col>18</xdr:col>
      <xdr:colOff>129540</xdr:colOff>
      <xdr:row>11</xdr:row>
      <xdr:rowOff>160020</xdr:rowOff>
    </xdr:to>
    <xdr:sp macro="" textlink="KPI!B7">
      <xdr:nvSpPr>
        <xdr:cNvPr id="15" name="Oval 14">
          <a:extLst>
            <a:ext uri="{FF2B5EF4-FFF2-40B4-BE49-F238E27FC236}">
              <a16:creationId xmlns:a16="http://schemas.microsoft.com/office/drawing/2014/main" id="{597F3941-2DB0-4ECE-A922-8D5F0EFC4A28}"/>
            </a:ext>
          </a:extLst>
        </xdr:cNvPr>
        <xdr:cNvSpPr/>
      </xdr:nvSpPr>
      <xdr:spPr>
        <a:xfrm>
          <a:off x="8404860" y="1051560"/>
          <a:ext cx="2339340" cy="1120140"/>
        </a:xfrm>
        <a:prstGeom prst="ellipse">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b="1" i="0" u="none" strike="noStrike">
              <a:solidFill>
                <a:schemeClr val="bg1"/>
              </a:solidFill>
              <a:latin typeface="Aptos Narrow" panose="020B0004020202020204" pitchFamily="34" charset="0"/>
              <a:ea typeface="Calibri"/>
              <a:cs typeface="Calibri"/>
            </a:rPr>
            <a:t>Average Response Time</a:t>
          </a:r>
        </a:p>
        <a:p>
          <a:pPr marL="0" indent="0" algn="ctr"/>
          <a:fld id="{82C21C1E-8F9A-4DC0-BE73-53AD2B275979}" type="TxLink">
            <a:rPr lang="en-US" sz="1400" b="1" i="0" u="none" strike="noStrike">
              <a:solidFill>
                <a:schemeClr val="bg1"/>
              </a:solidFill>
              <a:latin typeface="Aptos Narrow" panose="020B0004020202020204" pitchFamily="34" charset="0"/>
              <a:ea typeface="Calibri"/>
              <a:cs typeface="Calibri"/>
            </a:rPr>
            <a:pPr marL="0" indent="0" algn="ctr"/>
            <a:t>38.125</a:t>
          </a:fld>
          <a:endParaRPr lang="en-IN" sz="1400" b="1" i="0" u="none" strike="noStrike">
            <a:solidFill>
              <a:schemeClr val="bg1"/>
            </a:solidFill>
            <a:latin typeface="Aptos Narrow" panose="020B0004020202020204" pitchFamily="34" charset="0"/>
            <a:ea typeface="Calibri"/>
            <a:cs typeface="Calibri"/>
          </a:endParaRPr>
        </a:p>
      </xdr:txBody>
    </xdr:sp>
    <xdr:clientData/>
  </xdr:twoCellAnchor>
  <xdr:twoCellAnchor>
    <xdr:from>
      <xdr:col>18</xdr:col>
      <xdr:colOff>175260</xdr:colOff>
      <xdr:row>3</xdr:row>
      <xdr:rowOff>91440</xdr:rowOff>
    </xdr:from>
    <xdr:to>
      <xdr:col>21</xdr:col>
      <xdr:colOff>472440</xdr:colOff>
      <xdr:row>9</xdr:row>
      <xdr:rowOff>68580</xdr:rowOff>
    </xdr:to>
    <xdr:sp macro="" textlink="KPI!B9">
      <xdr:nvSpPr>
        <xdr:cNvPr id="16" name="Oval 15">
          <a:extLst>
            <a:ext uri="{FF2B5EF4-FFF2-40B4-BE49-F238E27FC236}">
              <a16:creationId xmlns:a16="http://schemas.microsoft.com/office/drawing/2014/main" id="{3A66D990-2D47-4202-B4C5-88AEE37F6B2D}"/>
            </a:ext>
          </a:extLst>
        </xdr:cNvPr>
        <xdr:cNvSpPr/>
      </xdr:nvSpPr>
      <xdr:spPr>
        <a:xfrm>
          <a:off x="10789920" y="640080"/>
          <a:ext cx="2125980" cy="1074420"/>
        </a:xfrm>
        <a:prstGeom prst="ellipse">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b="1" i="0" u="none" strike="noStrike">
              <a:solidFill>
                <a:schemeClr val="bg1"/>
              </a:solidFill>
              <a:latin typeface="Aptos Narrow" panose="020B0004020202020204" pitchFamily="34" charset="0"/>
              <a:ea typeface="Calibri"/>
              <a:cs typeface="Calibri"/>
            </a:rPr>
            <a:t>Total Feedback Count</a:t>
          </a:r>
        </a:p>
        <a:p>
          <a:pPr marL="0" indent="0" algn="ctr"/>
          <a:fld id="{230EA6D6-F0B3-48E5-8795-900ECD54C431}" type="TxLink">
            <a:rPr lang="en-US" sz="1400" b="1" i="0" u="none" strike="noStrike">
              <a:solidFill>
                <a:schemeClr val="bg1"/>
              </a:solidFill>
              <a:latin typeface="Aptos Narrow" panose="020B0004020202020204" pitchFamily="34" charset="0"/>
              <a:ea typeface="Calibri"/>
              <a:cs typeface="Calibri"/>
            </a:rPr>
            <a:pPr marL="0" indent="0" algn="ctr"/>
            <a:t>100</a:t>
          </a:fld>
          <a:endParaRPr lang="en-IN" sz="1400" b="1" i="0" u="none" strike="noStrike">
            <a:solidFill>
              <a:schemeClr val="bg1"/>
            </a:solidFill>
            <a:latin typeface="Aptos Narrow" panose="020B0004020202020204" pitchFamily="34" charset="0"/>
            <a:ea typeface="Calibri"/>
            <a:cs typeface="Calibri"/>
          </a:endParaRPr>
        </a:p>
      </xdr:txBody>
    </xdr:sp>
    <xdr:clientData/>
  </xdr:twoCellAnchor>
  <xdr:twoCellAnchor>
    <xdr:from>
      <xdr:col>0</xdr:col>
      <xdr:colOff>45720</xdr:colOff>
      <xdr:row>10</xdr:row>
      <xdr:rowOff>60960</xdr:rowOff>
    </xdr:from>
    <xdr:to>
      <xdr:col>6</xdr:col>
      <xdr:colOff>381000</xdr:colOff>
      <xdr:row>20</xdr:row>
      <xdr:rowOff>22860</xdr:rowOff>
    </xdr:to>
    <xdr:graphicFrame macro="">
      <xdr:nvGraphicFramePr>
        <xdr:cNvPr id="17" name="Chart 16">
          <a:extLst>
            <a:ext uri="{FF2B5EF4-FFF2-40B4-BE49-F238E27FC236}">
              <a16:creationId xmlns:a16="http://schemas.microsoft.com/office/drawing/2014/main" id="{FE197366-697B-4C4B-BFAB-A898D2DFD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114300</xdr:colOff>
      <xdr:row>11</xdr:row>
      <xdr:rowOff>175260</xdr:rowOff>
    </xdr:from>
    <xdr:to>
      <xdr:col>16</xdr:col>
      <xdr:colOff>472440</xdr:colOff>
      <xdr:row>22</xdr:row>
      <xdr:rowOff>129540</xdr:rowOff>
    </xdr:to>
    <xdr:graphicFrame macro="">
      <xdr:nvGraphicFramePr>
        <xdr:cNvPr id="20" name="Chart 19">
          <a:extLst>
            <a:ext uri="{FF2B5EF4-FFF2-40B4-BE49-F238E27FC236}">
              <a16:creationId xmlns:a16="http://schemas.microsoft.com/office/drawing/2014/main" id="{EE0F1DE2-3AC4-47F5-98FD-6436CA5CA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121920</xdr:colOff>
      <xdr:row>23</xdr:row>
      <xdr:rowOff>38100</xdr:rowOff>
    </xdr:from>
    <xdr:to>
      <xdr:col>16</xdr:col>
      <xdr:colOff>579120</xdr:colOff>
      <xdr:row>33</xdr:row>
      <xdr:rowOff>129540</xdr:rowOff>
    </xdr:to>
    <xdr:graphicFrame macro="">
      <xdr:nvGraphicFramePr>
        <xdr:cNvPr id="22" name="Chart 21">
          <a:extLst>
            <a:ext uri="{FF2B5EF4-FFF2-40B4-BE49-F238E27FC236}">
              <a16:creationId xmlns:a16="http://schemas.microsoft.com/office/drawing/2014/main" id="{C27A560A-2573-4BE9-B00B-87843FE97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114300</xdr:colOff>
      <xdr:row>19</xdr:row>
      <xdr:rowOff>106680</xdr:rowOff>
    </xdr:from>
    <xdr:to>
      <xdr:col>23</xdr:col>
      <xdr:colOff>365760</xdr:colOff>
      <xdr:row>28</xdr:row>
      <xdr:rowOff>121920</xdr:rowOff>
    </xdr:to>
    <xdr:graphicFrame macro="">
      <xdr:nvGraphicFramePr>
        <xdr:cNvPr id="24" name="Chart 23">
          <a:extLst>
            <a:ext uri="{FF2B5EF4-FFF2-40B4-BE49-F238E27FC236}">
              <a16:creationId xmlns:a16="http://schemas.microsoft.com/office/drawing/2014/main" id="{13C9E2BE-B17E-45F4-B34F-85B1B3F6C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594360</xdr:colOff>
      <xdr:row>34</xdr:row>
      <xdr:rowOff>7620</xdr:rowOff>
    </xdr:from>
    <xdr:to>
      <xdr:col>17</xdr:col>
      <xdr:colOff>22860</xdr:colOff>
      <xdr:row>45</xdr:row>
      <xdr:rowOff>91440</xdr:rowOff>
    </xdr:to>
    <xdr:graphicFrame macro="">
      <xdr:nvGraphicFramePr>
        <xdr:cNvPr id="26" name="Chart 25">
          <a:extLst>
            <a:ext uri="{FF2B5EF4-FFF2-40B4-BE49-F238E27FC236}">
              <a16:creationId xmlns:a16="http://schemas.microsoft.com/office/drawing/2014/main" id="{22985F8A-C454-4AB3-B85E-604084F5A3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30</xdr:row>
      <xdr:rowOff>160020</xdr:rowOff>
    </xdr:from>
    <xdr:to>
      <xdr:col>6</xdr:col>
      <xdr:colOff>426720</xdr:colOff>
      <xdr:row>40</xdr:row>
      <xdr:rowOff>144780</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A421E8B5-3FD5-48A2-842E-D9896F8E86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0" y="5646420"/>
              <a:ext cx="3726180" cy="18135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129540</xdr:colOff>
      <xdr:row>29</xdr:row>
      <xdr:rowOff>137160</xdr:rowOff>
    </xdr:from>
    <xdr:to>
      <xdr:col>23</xdr:col>
      <xdr:colOff>335280</xdr:colOff>
      <xdr:row>41</xdr:row>
      <xdr:rowOff>91440</xdr:rowOff>
    </xdr:to>
    <xdr:graphicFrame macro="">
      <xdr:nvGraphicFramePr>
        <xdr:cNvPr id="30" name="Chart 29">
          <a:extLst>
            <a:ext uri="{FF2B5EF4-FFF2-40B4-BE49-F238E27FC236}">
              <a16:creationId xmlns:a16="http://schemas.microsoft.com/office/drawing/2014/main" id="{036708A4-2CF1-4F21-8D77-9817985EA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38100</xdr:colOff>
      <xdr:row>20</xdr:row>
      <xdr:rowOff>99060</xdr:rowOff>
    </xdr:from>
    <xdr:to>
      <xdr:col>6</xdr:col>
      <xdr:colOff>381000</xdr:colOff>
      <xdr:row>30</xdr:row>
      <xdr:rowOff>91440</xdr:rowOff>
    </xdr:to>
    <xdr:graphicFrame macro="">
      <xdr:nvGraphicFramePr>
        <xdr:cNvPr id="32" name="Chart 31">
          <a:extLst>
            <a:ext uri="{FF2B5EF4-FFF2-40B4-BE49-F238E27FC236}">
              <a16:creationId xmlns:a16="http://schemas.microsoft.com/office/drawing/2014/main" id="{93D2ABD0-A3C9-4C85-A770-1A183B69C1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6</xdr:col>
      <xdr:colOff>548640</xdr:colOff>
      <xdr:row>21</xdr:row>
      <xdr:rowOff>175260</xdr:rowOff>
    </xdr:from>
    <xdr:to>
      <xdr:col>9</xdr:col>
      <xdr:colOff>548640</xdr:colOff>
      <xdr:row>32</xdr:row>
      <xdr:rowOff>76199</xdr:rowOff>
    </xdr:to>
    <mc:AlternateContent xmlns:mc="http://schemas.openxmlformats.org/markup-compatibility/2006" xmlns:a14="http://schemas.microsoft.com/office/drawing/2010/main">
      <mc:Choice Requires="a14">
        <xdr:graphicFrame macro="">
          <xdr:nvGraphicFramePr>
            <xdr:cNvPr id="34" name="Service Rating 1">
              <a:extLst>
                <a:ext uri="{FF2B5EF4-FFF2-40B4-BE49-F238E27FC236}">
                  <a16:creationId xmlns:a16="http://schemas.microsoft.com/office/drawing/2014/main" id="{A74A597C-2502-4044-B29C-C0DFFE233C00}"/>
                </a:ext>
              </a:extLst>
            </xdr:cNvPr>
            <xdr:cNvGraphicFramePr/>
          </xdr:nvGraphicFramePr>
          <xdr:xfrm>
            <a:off x="0" y="0"/>
            <a:ext cx="0" cy="0"/>
          </xdr:xfrm>
          <a:graphic>
            <a:graphicData uri="http://schemas.microsoft.com/office/drawing/2010/slicer">
              <sle:slicer xmlns:sle="http://schemas.microsoft.com/office/drawing/2010/slicer" name="Service Rating 1"/>
            </a:graphicData>
          </a:graphic>
        </xdr:graphicFrame>
      </mc:Choice>
      <mc:Fallback xmlns="">
        <xdr:sp macro="" textlink="">
          <xdr:nvSpPr>
            <xdr:cNvPr id="0" name=""/>
            <xdr:cNvSpPr>
              <a:spLocks noTextEdit="1"/>
            </xdr:cNvSpPr>
          </xdr:nvSpPr>
          <xdr:spPr>
            <a:xfrm>
              <a:off x="3848100" y="4015740"/>
              <a:ext cx="1828800" cy="1912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556260</xdr:colOff>
      <xdr:row>11</xdr:row>
      <xdr:rowOff>144780</xdr:rowOff>
    </xdr:from>
    <xdr:to>
      <xdr:col>9</xdr:col>
      <xdr:colOff>556260</xdr:colOff>
      <xdr:row>21</xdr:row>
      <xdr:rowOff>106679</xdr:rowOff>
    </xdr:to>
    <mc:AlternateContent xmlns:mc="http://schemas.openxmlformats.org/markup-compatibility/2006" xmlns:a14="http://schemas.microsoft.com/office/drawing/2010/main">
      <mc:Choice Requires="a14">
        <xdr:graphicFrame macro="">
          <xdr:nvGraphicFramePr>
            <xdr:cNvPr id="36" name="Feedback Category 1">
              <a:extLst>
                <a:ext uri="{FF2B5EF4-FFF2-40B4-BE49-F238E27FC236}">
                  <a16:creationId xmlns:a16="http://schemas.microsoft.com/office/drawing/2014/main" id="{0FD4AFB1-2F5E-43C4-A261-DD09BF7026C2}"/>
                </a:ext>
              </a:extLst>
            </xdr:cNvPr>
            <xdr:cNvGraphicFramePr/>
          </xdr:nvGraphicFramePr>
          <xdr:xfrm>
            <a:off x="0" y="0"/>
            <a:ext cx="0" cy="0"/>
          </xdr:xfrm>
          <a:graphic>
            <a:graphicData uri="http://schemas.microsoft.com/office/drawing/2010/slicer">
              <sle:slicer xmlns:sle="http://schemas.microsoft.com/office/drawing/2010/slicer" name="Feedback Category 1"/>
            </a:graphicData>
          </a:graphic>
        </xdr:graphicFrame>
      </mc:Choice>
      <mc:Fallback xmlns="">
        <xdr:sp macro="" textlink="">
          <xdr:nvSpPr>
            <xdr:cNvPr id="0" name=""/>
            <xdr:cNvSpPr>
              <a:spLocks noTextEdit="1"/>
            </xdr:cNvSpPr>
          </xdr:nvSpPr>
          <xdr:spPr>
            <a:xfrm>
              <a:off x="3855720" y="2156460"/>
              <a:ext cx="1828800" cy="1790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502920</xdr:colOff>
      <xdr:row>32</xdr:row>
      <xdr:rowOff>152400</xdr:rowOff>
    </xdr:from>
    <xdr:to>
      <xdr:col>9</xdr:col>
      <xdr:colOff>502920</xdr:colOff>
      <xdr:row>40</xdr:row>
      <xdr:rowOff>60960</xdr:rowOff>
    </xdr:to>
    <mc:AlternateContent xmlns:mc="http://schemas.openxmlformats.org/markup-compatibility/2006" xmlns:a14="http://schemas.microsoft.com/office/drawing/2010/main">
      <mc:Choice Requires="a14">
        <xdr:graphicFrame macro="">
          <xdr:nvGraphicFramePr>
            <xdr:cNvPr id="38" name="Issue Resolved 1">
              <a:extLst>
                <a:ext uri="{FF2B5EF4-FFF2-40B4-BE49-F238E27FC236}">
                  <a16:creationId xmlns:a16="http://schemas.microsoft.com/office/drawing/2014/main" id="{B761CDCF-6A3F-4A5A-A376-7812FD54A956}"/>
                </a:ext>
              </a:extLst>
            </xdr:cNvPr>
            <xdr:cNvGraphicFramePr/>
          </xdr:nvGraphicFramePr>
          <xdr:xfrm>
            <a:off x="0" y="0"/>
            <a:ext cx="0" cy="0"/>
          </xdr:xfrm>
          <a:graphic>
            <a:graphicData uri="http://schemas.microsoft.com/office/drawing/2010/slicer">
              <sle:slicer xmlns:sle="http://schemas.microsoft.com/office/drawing/2010/slicer" name="Issue Resolved 1"/>
            </a:graphicData>
          </a:graphic>
        </xdr:graphicFrame>
      </mc:Choice>
      <mc:Fallback xmlns="">
        <xdr:sp macro="" textlink="">
          <xdr:nvSpPr>
            <xdr:cNvPr id="0" name=""/>
            <xdr:cNvSpPr>
              <a:spLocks noTextEdit="1"/>
            </xdr:cNvSpPr>
          </xdr:nvSpPr>
          <xdr:spPr>
            <a:xfrm>
              <a:off x="3802380" y="6004560"/>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41</xdr:row>
      <xdr:rowOff>38100</xdr:rowOff>
    </xdr:from>
    <xdr:to>
      <xdr:col>9</xdr:col>
      <xdr:colOff>472440</xdr:colOff>
      <xdr:row>49</xdr:row>
      <xdr:rowOff>38100</xdr:rowOff>
    </xdr:to>
    <mc:AlternateContent xmlns:mc="http://schemas.openxmlformats.org/markup-compatibility/2006" xmlns:tsle="http://schemas.microsoft.com/office/drawing/2012/timeslicer">
      <mc:Choice Requires="tsle">
        <xdr:graphicFrame macro="">
          <xdr:nvGraphicFramePr>
            <xdr:cNvPr id="40" name="Date 1">
              <a:extLst>
                <a:ext uri="{FF2B5EF4-FFF2-40B4-BE49-F238E27FC236}">
                  <a16:creationId xmlns:a16="http://schemas.microsoft.com/office/drawing/2014/main" id="{D3FEA2F0-41F8-4B4C-851E-D67ECD2F9B95}"/>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68580" y="7536180"/>
              <a:ext cx="5532120" cy="14630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18</xdr:col>
      <xdr:colOff>7620</xdr:colOff>
      <xdr:row>11</xdr:row>
      <xdr:rowOff>22860</xdr:rowOff>
    </xdr:from>
    <xdr:to>
      <xdr:col>21</xdr:col>
      <xdr:colOff>586740</xdr:colOff>
      <xdr:row>12</xdr:row>
      <xdr:rowOff>106680</xdr:rowOff>
    </xdr:to>
    <xdr:sp macro="" textlink="">
      <xdr:nvSpPr>
        <xdr:cNvPr id="41" name="Rectangle 40">
          <a:extLst>
            <a:ext uri="{FF2B5EF4-FFF2-40B4-BE49-F238E27FC236}">
              <a16:creationId xmlns:a16="http://schemas.microsoft.com/office/drawing/2014/main" id="{96CACCE7-3F22-EC33-B39F-02EF4DB4F525}"/>
            </a:ext>
          </a:extLst>
        </xdr:cNvPr>
        <xdr:cNvSpPr/>
      </xdr:nvSpPr>
      <xdr:spPr>
        <a:xfrm>
          <a:off x="10622280" y="2034540"/>
          <a:ext cx="2407920" cy="26670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IN" sz="1200" b="1"/>
            <a:t>Cross</a:t>
          </a:r>
          <a:r>
            <a:rPr lang="en-IN" sz="1200" b="1" baseline="0"/>
            <a:t> Analysis - Chart</a:t>
          </a:r>
          <a:endParaRPr lang="en-IN" sz="1200" b="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320040</xdr:colOff>
      <xdr:row>0</xdr:row>
      <xdr:rowOff>57150</xdr:rowOff>
    </xdr:from>
    <xdr:to>
      <xdr:col>12</xdr:col>
      <xdr:colOff>15240</xdr:colOff>
      <xdr:row>15</xdr:row>
      <xdr:rowOff>57150</xdr:rowOff>
    </xdr:to>
    <xdr:graphicFrame macro="">
      <xdr:nvGraphicFramePr>
        <xdr:cNvPr id="2" name="Chart 1">
          <a:extLst>
            <a:ext uri="{FF2B5EF4-FFF2-40B4-BE49-F238E27FC236}">
              <a16:creationId xmlns:a16="http://schemas.microsoft.com/office/drawing/2014/main" id="{C8E34AAA-628B-9AD8-8E02-6C53B8A91C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845820</xdr:colOff>
      <xdr:row>8</xdr:row>
      <xdr:rowOff>106680</xdr:rowOff>
    </xdr:from>
    <xdr:to>
      <xdr:col>8</xdr:col>
      <xdr:colOff>228600</xdr:colOff>
      <xdr:row>21</xdr:row>
      <xdr:rowOff>148590</xdr:rowOff>
    </xdr:to>
    <xdr:graphicFrame macro="">
      <xdr:nvGraphicFramePr>
        <xdr:cNvPr id="2" name="Chart 1">
          <a:extLst>
            <a:ext uri="{FF2B5EF4-FFF2-40B4-BE49-F238E27FC236}">
              <a16:creationId xmlns:a16="http://schemas.microsoft.com/office/drawing/2014/main" id="{5227E43F-0D6C-9ED4-A76C-7C1623A90B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30480</xdr:colOff>
      <xdr:row>6</xdr:row>
      <xdr:rowOff>148590</xdr:rowOff>
    </xdr:from>
    <xdr:to>
      <xdr:col>9</xdr:col>
      <xdr:colOff>335280</xdr:colOff>
      <xdr:row>17</xdr:row>
      <xdr:rowOff>148590</xdr:rowOff>
    </xdr:to>
    <xdr:graphicFrame macro="">
      <xdr:nvGraphicFramePr>
        <xdr:cNvPr id="3" name="Chart 2">
          <a:extLst>
            <a:ext uri="{FF2B5EF4-FFF2-40B4-BE49-F238E27FC236}">
              <a16:creationId xmlns:a16="http://schemas.microsoft.com/office/drawing/2014/main" id="{BE8FA16D-4690-9867-FAE2-EF0DC6D2FB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0.42667</cdr:x>
      <cdr:y>0.40417</cdr:y>
    </cdr:from>
    <cdr:to>
      <cdr:x>0.58667</cdr:x>
      <cdr:y>0.57361</cdr:y>
    </cdr:to>
    <cdr:sp macro="" textlink="">
      <cdr:nvSpPr>
        <cdr:cNvPr id="2" name="Rectangle 1">
          <a:extLst xmlns:a="http://schemas.openxmlformats.org/drawingml/2006/main">
            <a:ext uri="{FF2B5EF4-FFF2-40B4-BE49-F238E27FC236}">
              <a16:creationId xmlns:a16="http://schemas.microsoft.com/office/drawing/2014/main" id="{E682278E-5AF6-558B-0046-1D25C8838E17}"/>
            </a:ext>
          </a:extLst>
        </cdr:cNvPr>
        <cdr:cNvSpPr/>
      </cdr:nvSpPr>
      <cdr:spPr>
        <a:xfrm xmlns:a="http://schemas.openxmlformats.org/drawingml/2006/main">
          <a:off x="1950720" y="1108710"/>
          <a:ext cx="731520" cy="464820"/>
        </a:xfrm>
        <a:prstGeom xmlns:a="http://schemas.openxmlformats.org/drawingml/2006/main" prst="rect">
          <a:avLst/>
        </a:prstGeom>
        <a:solidFill xmlns:a="http://schemas.openxmlformats.org/drawingml/2006/main">
          <a:schemeClr val="tx1">
            <a:lumMod val="75000"/>
            <a:lumOff val="25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IN" kern="1200"/>
            <a:t>NPS</a:t>
          </a:r>
        </a:p>
        <a:p xmlns:a="http://schemas.openxmlformats.org/drawingml/2006/main">
          <a:pPr algn="ctr"/>
          <a:r>
            <a:rPr lang="en-IN" kern="1200"/>
            <a:t>5</a:t>
          </a:r>
        </a:p>
        <a:p xmlns:a="http://schemas.openxmlformats.org/drawingml/2006/main">
          <a:endParaRPr lang="en-IN"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3.929384953706" createdVersion="8" refreshedVersion="8" minRefreshableVersion="3" recordCount="100" xr:uid="{71708B14-9BC8-41B5-A370-1009F027520A}">
  <cacheSource type="worksheet">
    <worksheetSource ref="A1:I101" sheet="dataset"/>
  </cacheSource>
  <cacheFields count="9">
    <cacheField name="Customer ID" numFmtId="0">
      <sharedItems/>
    </cacheField>
    <cacheField name="Date" numFmtId="14">
      <sharedItems containsSemiMixedTypes="0" containsNonDate="0" containsDate="1" containsString="0" minDate="2024-01-01T00:00:00" maxDate="2024-04-10T00:00:00" count="66">
        <d v="2024-04-03T00:00:00"/>
        <d v="2024-02-20T00:00:00"/>
        <d v="2024-03-02T00:00:00"/>
        <d v="2024-02-26T00:00:00"/>
        <d v="2024-03-06T00:00:00"/>
        <d v="2024-03-19T00:00:00"/>
        <d v="2024-03-15T00:00:00"/>
        <d v="2024-01-08T00:00:00"/>
        <d v="2024-01-26T00:00:00"/>
        <d v="2024-02-14T00:00:00"/>
        <d v="2024-02-13T00:00:00"/>
        <d v="2024-01-05T00:00:00"/>
        <d v="2024-03-10T00:00:00"/>
        <d v="2024-03-08T00:00:00"/>
        <d v="2024-01-19T00:00:00"/>
        <d v="2024-03-24T00:00:00"/>
        <d v="2024-04-06T00:00:00"/>
        <d v="2024-01-20T00:00:00"/>
        <d v="2024-01-12T00:00:00"/>
        <d v="2024-02-16T00:00:00"/>
        <d v="2024-01-01T00:00:00"/>
        <d v="2024-03-30T00:00:00"/>
        <d v="2024-01-14T00:00:00"/>
        <d v="2024-03-04T00:00:00"/>
        <d v="2024-02-07T00:00:00"/>
        <d v="2024-02-06T00:00:00"/>
        <d v="2024-01-11T00:00:00"/>
        <d v="2024-04-09T00:00:00"/>
        <d v="2024-03-17T00:00:00"/>
        <d v="2024-01-03T00:00:00"/>
        <d v="2024-02-02T00:00:00"/>
        <d v="2024-01-06T00:00:00"/>
        <d v="2024-02-19T00:00:00"/>
        <d v="2024-01-10T00:00:00"/>
        <d v="2024-01-23T00:00:00"/>
        <d v="2024-01-02T00:00:00"/>
        <d v="2024-01-13T00:00:00"/>
        <d v="2024-02-09T00:00:00"/>
        <d v="2024-03-05T00:00:00"/>
        <d v="2024-03-03T00:00:00"/>
        <d v="2024-03-13T00:00:00"/>
        <d v="2024-01-17T00:00:00"/>
        <d v="2024-01-09T00:00:00"/>
        <d v="2024-01-15T00:00:00"/>
        <d v="2024-01-24T00:00:00"/>
        <d v="2024-02-04T00:00:00"/>
        <d v="2024-04-04T00:00:00"/>
        <d v="2024-02-18T00:00:00"/>
        <d v="2024-03-09T00:00:00"/>
        <d v="2024-02-29T00:00:00"/>
        <d v="2024-03-18T00:00:00"/>
        <d v="2024-02-03T00:00:00"/>
        <d v="2024-03-16T00:00:00"/>
        <d v="2024-04-08T00:00:00"/>
        <d v="2024-01-22T00:00:00"/>
        <d v="2024-04-02T00:00:00"/>
        <d v="2024-03-12T00:00:00"/>
        <d v="2024-01-30T00:00:00"/>
        <d v="2024-03-25T00:00:00"/>
        <d v="2024-03-23T00:00:00"/>
        <d v="2024-01-04T00:00:00"/>
        <d v="2024-03-29T00:00:00"/>
        <d v="2024-02-11T00:00:00"/>
        <d v="2024-01-18T00:00:00"/>
        <d v="2024-02-08T00:00:00"/>
        <d v="2024-02-01T00:00:00"/>
      </sharedItems>
    </cacheField>
    <cacheField name="Service Rating" numFmtId="0">
      <sharedItems containsSemiMixedTypes="0" containsString="0" containsNumber="1" containsInteger="1" minValue="1" maxValue="5" count="5">
        <n v="5"/>
        <n v="1"/>
        <n v="2"/>
        <n v="3"/>
        <n v="4"/>
      </sharedItems>
    </cacheField>
    <cacheField name="Feedback Category" numFmtId="0">
      <sharedItems count="5">
        <s v="Website"/>
        <s v="Billing"/>
        <s v="Service"/>
        <s v="Product"/>
        <s v="Other"/>
      </sharedItems>
    </cacheField>
    <cacheField name="Response Time (hours)" numFmtId="0">
      <sharedItems containsSemiMixedTypes="0" containsString="0" containsNumber="1" minValue="1.2" maxValue="71"/>
    </cacheField>
    <cacheField name="Issue Resolved" numFmtId="0">
      <sharedItems count="2">
        <s v="No"/>
        <s v="Yes"/>
      </sharedItems>
    </cacheField>
    <cacheField name="Month" numFmtId="0">
      <sharedItems count="4">
        <s v="Apr-24"/>
        <s v="Feb-24"/>
        <s v="Mar-24"/>
        <s v="Jan-24"/>
      </sharedItems>
    </cacheField>
    <cacheField name="Resolution Rate" numFmtId="0">
      <sharedItems containsString="0" containsBlank="1" containsNumber="1" containsInteger="1" minValue="80" maxValue="80"/>
    </cacheField>
    <cacheField name="NPS" numFmtId="0">
      <sharedItems containsString="0" containsBlank="1" containsNumber="1" containsInteger="1" minValue="5" maxValue="5"/>
    </cacheField>
  </cacheFields>
  <extLst>
    <ext xmlns:x14="http://schemas.microsoft.com/office/spreadsheetml/2009/9/main" uri="{725AE2AE-9491-48be-B2B4-4EB974FC3084}">
      <x14:pivotCacheDefinition pivotCacheId="7551734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1000"/>
    <x v="0"/>
    <x v="0"/>
    <x v="0"/>
    <n v="24.8"/>
    <x v="0"/>
    <x v="0"/>
    <n v="80"/>
    <n v="5"/>
  </r>
  <r>
    <s v="C1001"/>
    <x v="1"/>
    <x v="1"/>
    <x v="1"/>
    <n v="59.6"/>
    <x v="0"/>
    <x v="1"/>
    <m/>
    <m/>
  </r>
  <r>
    <s v="C1002"/>
    <x v="2"/>
    <x v="1"/>
    <x v="2"/>
    <n v="26.8"/>
    <x v="1"/>
    <x v="2"/>
    <m/>
    <m/>
  </r>
  <r>
    <s v="C1003"/>
    <x v="3"/>
    <x v="1"/>
    <x v="3"/>
    <n v="3.4"/>
    <x v="1"/>
    <x v="1"/>
    <m/>
    <m/>
  </r>
  <r>
    <s v="C1004"/>
    <x v="4"/>
    <x v="1"/>
    <x v="2"/>
    <n v="60"/>
    <x v="1"/>
    <x v="2"/>
    <m/>
    <m/>
  </r>
  <r>
    <s v="C1005"/>
    <x v="5"/>
    <x v="1"/>
    <x v="2"/>
    <n v="25.5"/>
    <x v="1"/>
    <x v="2"/>
    <m/>
    <m/>
  </r>
  <r>
    <s v="C1006"/>
    <x v="6"/>
    <x v="2"/>
    <x v="3"/>
    <n v="55.9"/>
    <x v="1"/>
    <x v="2"/>
    <m/>
    <m/>
  </r>
  <r>
    <s v="C1007"/>
    <x v="7"/>
    <x v="0"/>
    <x v="2"/>
    <n v="26.8"/>
    <x v="1"/>
    <x v="3"/>
    <m/>
    <m/>
  </r>
  <r>
    <s v="C1008"/>
    <x v="8"/>
    <x v="3"/>
    <x v="3"/>
    <n v="62.1"/>
    <x v="0"/>
    <x v="3"/>
    <m/>
    <m/>
  </r>
  <r>
    <s v="C1009"/>
    <x v="1"/>
    <x v="3"/>
    <x v="1"/>
    <n v="16.600000000000001"/>
    <x v="1"/>
    <x v="1"/>
    <m/>
    <m/>
  </r>
  <r>
    <s v="C1010"/>
    <x v="9"/>
    <x v="3"/>
    <x v="3"/>
    <n v="70.2"/>
    <x v="1"/>
    <x v="1"/>
    <m/>
    <m/>
  </r>
  <r>
    <s v="C1011"/>
    <x v="10"/>
    <x v="3"/>
    <x v="3"/>
    <n v="56.4"/>
    <x v="1"/>
    <x v="1"/>
    <m/>
    <m/>
  </r>
  <r>
    <s v="C1012"/>
    <x v="11"/>
    <x v="2"/>
    <x v="0"/>
    <n v="9.1"/>
    <x v="1"/>
    <x v="3"/>
    <m/>
    <m/>
  </r>
  <r>
    <s v="C1013"/>
    <x v="12"/>
    <x v="4"/>
    <x v="3"/>
    <n v="41.2"/>
    <x v="1"/>
    <x v="2"/>
    <m/>
    <m/>
  </r>
  <r>
    <s v="C1014"/>
    <x v="8"/>
    <x v="0"/>
    <x v="3"/>
    <n v="71"/>
    <x v="1"/>
    <x v="3"/>
    <m/>
    <m/>
  </r>
  <r>
    <s v="C1015"/>
    <x v="13"/>
    <x v="1"/>
    <x v="1"/>
    <n v="34.4"/>
    <x v="1"/>
    <x v="2"/>
    <m/>
    <m/>
  </r>
  <r>
    <s v="C1016"/>
    <x v="14"/>
    <x v="4"/>
    <x v="0"/>
    <n v="13.9"/>
    <x v="1"/>
    <x v="3"/>
    <m/>
    <m/>
  </r>
  <r>
    <s v="C1017"/>
    <x v="15"/>
    <x v="3"/>
    <x v="4"/>
    <n v="35.4"/>
    <x v="1"/>
    <x v="2"/>
    <m/>
    <m/>
  </r>
  <r>
    <s v="C1018"/>
    <x v="16"/>
    <x v="4"/>
    <x v="1"/>
    <n v="37.4"/>
    <x v="1"/>
    <x v="0"/>
    <m/>
    <m/>
  </r>
  <r>
    <s v="C1019"/>
    <x v="17"/>
    <x v="0"/>
    <x v="1"/>
    <n v="53.7"/>
    <x v="1"/>
    <x v="3"/>
    <m/>
    <m/>
  </r>
  <r>
    <s v="C1020"/>
    <x v="18"/>
    <x v="1"/>
    <x v="4"/>
    <n v="50.6"/>
    <x v="1"/>
    <x v="3"/>
    <m/>
    <m/>
  </r>
  <r>
    <s v="C1021"/>
    <x v="19"/>
    <x v="1"/>
    <x v="3"/>
    <n v="29.6"/>
    <x v="1"/>
    <x v="1"/>
    <m/>
    <m/>
  </r>
  <r>
    <s v="C1022"/>
    <x v="20"/>
    <x v="0"/>
    <x v="2"/>
    <n v="16.5"/>
    <x v="1"/>
    <x v="3"/>
    <m/>
    <m/>
  </r>
  <r>
    <s v="C1023"/>
    <x v="21"/>
    <x v="0"/>
    <x v="0"/>
    <n v="46.8"/>
    <x v="1"/>
    <x v="2"/>
    <m/>
    <m/>
  </r>
  <r>
    <s v="C1024"/>
    <x v="22"/>
    <x v="3"/>
    <x v="2"/>
    <n v="30.9"/>
    <x v="1"/>
    <x v="3"/>
    <m/>
    <m/>
  </r>
  <r>
    <s v="C1025"/>
    <x v="23"/>
    <x v="1"/>
    <x v="4"/>
    <n v="10.4"/>
    <x v="1"/>
    <x v="2"/>
    <m/>
    <m/>
  </r>
  <r>
    <s v="C1026"/>
    <x v="24"/>
    <x v="4"/>
    <x v="1"/>
    <n v="64.900000000000006"/>
    <x v="1"/>
    <x v="1"/>
    <m/>
    <m/>
  </r>
  <r>
    <s v="C1027"/>
    <x v="25"/>
    <x v="2"/>
    <x v="1"/>
    <n v="50.1"/>
    <x v="0"/>
    <x v="1"/>
    <m/>
    <m/>
  </r>
  <r>
    <s v="C1028"/>
    <x v="26"/>
    <x v="2"/>
    <x v="0"/>
    <n v="49.5"/>
    <x v="1"/>
    <x v="3"/>
    <m/>
    <m/>
  </r>
  <r>
    <s v="C1029"/>
    <x v="27"/>
    <x v="0"/>
    <x v="1"/>
    <n v="59.4"/>
    <x v="1"/>
    <x v="0"/>
    <m/>
    <m/>
  </r>
  <r>
    <s v="C1030"/>
    <x v="28"/>
    <x v="3"/>
    <x v="1"/>
    <n v="38.6"/>
    <x v="1"/>
    <x v="2"/>
    <m/>
    <m/>
  </r>
  <r>
    <s v="C1031"/>
    <x v="29"/>
    <x v="2"/>
    <x v="0"/>
    <n v="58.9"/>
    <x v="1"/>
    <x v="3"/>
    <m/>
    <m/>
  </r>
  <r>
    <s v="C1032"/>
    <x v="30"/>
    <x v="1"/>
    <x v="0"/>
    <n v="36.4"/>
    <x v="0"/>
    <x v="1"/>
    <m/>
    <m/>
  </r>
  <r>
    <s v="C1033"/>
    <x v="31"/>
    <x v="0"/>
    <x v="4"/>
    <n v="5.8"/>
    <x v="1"/>
    <x v="3"/>
    <m/>
    <m/>
  </r>
  <r>
    <s v="C1034"/>
    <x v="32"/>
    <x v="4"/>
    <x v="1"/>
    <n v="29.8"/>
    <x v="1"/>
    <x v="1"/>
    <m/>
    <m/>
  </r>
  <r>
    <s v="C1035"/>
    <x v="33"/>
    <x v="0"/>
    <x v="1"/>
    <n v="36.299999999999997"/>
    <x v="1"/>
    <x v="3"/>
    <m/>
    <m/>
  </r>
  <r>
    <s v="C1036"/>
    <x v="11"/>
    <x v="4"/>
    <x v="4"/>
    <n v="52.1"/>
    <x v="1"/>
    <x v="3"/>
    <m/>
    <m/>
  </r>
  <r>
    <s v="C1037"/>
    <x v="34"/>
    <x v="0"/>
    <x v="3"/>
    <n v="8.6"/>
    <x v="1"/>
    <x v="3"/>
    <m/>
    <m/>
  </r>
  <r>
    <s v="C1038"/>
    <x v="33"/>
    <x v="0"/>
    <x v="3"/>
    <n v="10.9"/>
    <x v="0"/>
    <x v="3"/>
    <m/>
    <m/>
  </r>
  <r>
    <s v="C1039"/>
    <x v="10"/>
    <x v="0"/>
    <x v="3"/>
    <n v="19.7"/>
    <x v="1"/>
    <x v="1"/>
    <m/>
    <m/>
  </r>
  <r>
    <s v="C1040"/>
    <x v="35"/>
    <x v="4"/>
    <x v="4"/>
    <n v="19.899999999999999"/>
    <x v="1"/>
    <x v="3"/>
    <m/>
    <m/>
  </r>
  <r>
    <s v="C1041"/>
    <x v="36"/>
    <x v="4"/>
    <x v="1"/>
    <n v="53"/>
    <x v="0"/>
    <x v="3"/>
    <m/>
    <m/>
  </r>
  <r>
    <s v="C1042"/>
    <x v="37"/>
    <x v="0"/>
    <x v="4"/>
    <n v="18.8"/>
    <x v="1"/>
    <x v="1"/>
    <m/>
    <m/>
  </r>
  <r>
    <s v="C1043"/>
    <x v="35"/>
    <x v="2"/>
    <x v="4"/>
    <n v="45.9"/>
    <x v="1"/>
    <x v="3"/>
    <m/>
    <m/>
  </r>
  <r>
    <s v="C1044"/>
    <x v="15"/>
    <x v="3"/>
    <x v="3"/>
    <n v="36.1"/>
    <x v="1"/>
    <x v="2"/>
    <m/>
    <m/>
  </r>
  <r>
    <s v="C1045"/>
    <x v="38"/>
    <x v="3"/>
    <x v="2"/>
    <n v="41.7"/>
    <x v="0"/>
    <x v="2"/>
    <m/>
    <m/>
  </r>
  <r>
    <s v="C1046"/>
    <x v="39"/>
    <x v="3"/>
    <x v="1"/>
    <n v="60.5"/>
    <x v="1"/>
    <x v="2"/>
    <m/>
    <m/>
  </r>
  <r>
    <s v="C1047"/>
    <x v="40"/>
    <x v="4"/>
    <x v="3"/>
    <n v="29.7"/>
    <x v="1"/>
    <x v="2"/>
    <m/>
    <m/>
  </r>
  <r>
    <s v="C1048"/>
    <x v="41"/>
    <x v="4"/>
    <x v="2"/>
    <n v="55.7"/>
    <x v="1"/>
    <x v="3"/>
    <m/>
    <m/>
  </r>
  <r>
    <s v="C1049"/>
    <x v="42"/>
    <x v="2"/>
    <x v="2"/>
    <n v="31"/>
    <x v="1"/>
    <x v="3"/>
    <m/>
    <m/>
  </r>
  <r>
    <s v="C1050"/>
    <x v="6"/>
    <x v="3"/>
    <x v="0"/>
    <n v="26.1"/>
    <x v="1"/>
    <x v="2"/>
    <m/>
    <m/>
  </r>
  <r>
    <s v="C1051"/>
    <x v="43"/>
    <x v="3"/>
    <x v="1"/>
    <n v="69.099999999999994"/>
    <x v="1"/>
    <x v="3"/>
    <m/>
    <m/>
  </r>
  <r>
    <s v="C1052"/>
    <x v="44"/>
    <x v="0"/>
    <x v="2"/>
    <n v="14.1"/>
    <x v="1"/>
    <x v="3"/>
    <m/>
    <m/>
  </r>
  <r>
    <s v="C1053"/>
    <x v="24"/>
    <x v="4"/>
    <x v="3"/>
    <n v="7.4"/>
    <x v="1"/>
    <x v="1"/>
    <m/>
    <m/>
  </r>
  <r>
    <s v="C1054"/>
    <x v="45"/>
    <x v="3"/>
    <x v="0"/>
    <n v="55.7"/>
    <x v="1"/>
    <x v="1"/>
    <m/>
    <m/>
  </r>
  <r>
    <s v="C1055"/>
    <x v="0"/>
    <x v="2"/>
    <x v="1"/>
    <n v="5.8"/>
    <x v="1"/>
    <x v="0"/>
    <m/>
    <m/>
  </r>
  <r>
    <s v="C1056"/>
    <x v="46"/>
    <x v="2"/>
    <x v="4"/>
    <n v="60.4"/>
    <x v="1"/>
    <x v="0"/>
    <m/>
    <m/>
  </r>
  <r>
    <s v="C1057"/>
    <x v="47"/>
    <x v="3"/>
    <x v="3"/>
    <n v="32"/>
    <x v="1"/>
    <x v="1"/>
    <m/>
    <m/>
  </r>
  <r>
    <s v="C1058"/>
    <x v="48"/>
    <x v="4"/>
    <x v="2"/>
    <n v="66"/>
    <x v="1"/>
    <x v="2"/>
    <m/>
    <m/>
  </r>
  <r>
    <s v="C1059"/>
    <x v="2"/>
    <x v="2"/>
    <x v="2"/>
    <n v="52.2"/>
    <x v="1"/>
    <x v="2"/>
    <m/>
    <m/>
  </r>
  <r>
    <s v="C1060"/>
    <x v="49"/>
    <x v="0"/>
    <x v="3"/>
    <n v="44.3"/>
    <x v="1"/>
    <x v="1"/>
    <m/>
    <m/>
  </r>
  <r>
    <s v="C1061"/>
    <x v="32"/>
    <x v="2"/>
    <x v="2"/>
    <n v="68.400000000000006"/>
    <x v="1"/>
    <x v="1"/>
    <m/>
    <m/>
  </r>
  <r>
    <s v="C1062"/>
    <x v="50"/>
    <x v="1"/>
    <x v="0"/>
    <n v="29.2"/>
    <x v="0"/>
    <x v="2"/>
    <m/>
    <m/>
  </r>
  <r>
    <s v="C1063"/>
    <x v="6"/>
    <x v="1"/>
    <x v="1"/>
    <n v="68.7"/>
    <x v="1"/>
    <x v="2"/>
    <m/>
    <m/>
  </r>
  <r>
    <s v="C1064"/>
    <x v="42"/>
    <x v="4"/>
    <x v="0"/>
    <n v="10.6"/>
    <x v="1"/>
    <x v="3"/>
    <m/>
    <m/>
  </r>
  <r>
    <s v="C1065"/>
    <x v="51"/>
    <x v="3"/>
    <x v="2"/>
    <n v="35.299999999999997"/>
    <x v="1"/>
    <x v="1"/>
    <m/>
    <m/>
  </r>
  <r>
    <s v="C1066"/>
    <x v="52"/>
    <x v="4"/>
    <x v="4"/>
    <n v="20.2"/>
    <x v="0"/>
    <x v="2"/>
    <m/>
    <m/>
  </r>
  <r>
    <s v="C1067"/>
    <x v="53"/>
    <x v="4"/>
    <x v="1"/>
    <n v="39.299999999999997"/>
    <x v="1"/>
    <x v="0"/>
    <m/>
    <m/>
  </r>
  <r>
    <s v="C1068"/>
    <x v="45"/>
    <x v="4"/>
    <x v="1"/>
    <n v="12.5"/>
    <x v="1"/>
    <x v="1"/>
    <m/>
    <m/>
  </r>
  <r>
    <s v="C1069"/>
    <x v="20"/>
    <x v="4"/>
    <x v="3"/>
    <n v="60.7"/>
    <x v="1"/>
    <x v="3"/>
    <m/>
    <m/>
  </r>
  <r>
    <s v="C1070"/>
    <x v="37"/>
    <x v="0"/>
    <x v="3"/>
    <n v="61.1"/>
    <x v="1"/>
    <x v="1"/>
    <m/>
    <m/>
  </r>
  <r>
    <s v="C1071"/>
    <x v="23"/>
    <x v="0"/>
    <x v="4"/>
    <n v="68.8"/>
    <x v="0"/>
    <x v="2"/>
    <m/>
    <m/>
  </r>
  <r>
    <s v="C1072"/>
    <x v="54"/>
    <x v="2"/>
    <x v="1"/>
    <n v="12"/>
    <x v="1"/>
    <x v="3"/>
    <m/>
    <m/>
  </r>
  <r>
    <s v="C1073"/>
    <x v="49"/>
    <x v="1"/>
    <x v="4"/>
    <n v="45.3"/>
    <x v="1"/>
    <x v="1"/>
    <m/>
    <m/>
  </r>
  <r>
    <s v="C1074"/>
    <x v="23"/>
    <x v="4"/>
    <x v="3"/>
    <n v="34.700000000000003"/>
    <x v="1"/>
    <x v="2"/>
    <m/>
    <m/>
  </r>
  <r>
    <s v="C1075"/>
    <x v="55"/>
    <x v="2"/>
    <x v="3"/>
    <n v="25.5"/>
    <x v="0"/>
    <x v="0"/>
    <m/>
    <m/>
  </r>
  <r>
    <s v="C1076"/>
    <x v="56"/>
    <x v="1"/>
    <x v="1"/>
    <n v="26"/>
    <x v="0"/>
    <x v="2"/>
    <m/>
    <m/>
  </r>
  <r>
    <s v="C1077"/>
    <x v="26"/>
    <x v="3"/>
    <x v="0"/>
    <n v="30.3"/>
    <x v="1"/>
    <x v="3"/>
    <m/>
    <m/>
  </r>
  <r>
    <s v="C1078"/>
    <x v="22"/>
    <x v="0"/>
    <x v="2"/>
    <n v="51"/>
    <x v="0"/>
    <x v="3"/>
    <m/>
    <m/>
  </r>
  <r>
    <s v="C1079"/>
    <x v="49"/>
    <x v="1"/>
    <x v="3"/>
    <n v="43.5"/>
    <x v="0"/>
    <x v="1"/>
    <m/>
    <m/>
  </r>
  <r>
    <s v="C1080"/>
    <x v="57"/>
    <x v="3"/>
    <x v="3"/>
    <n v="33.6"/>
    <x v="1"/>
    <x v="3"/>
    <m/>
    <m/>
  </r>
  <r>
    <s v="C1081"/>
    <x v="45"/>
    <x v="1"/>
    <x v="0"/>
    <n v="6.4"/>
    <x v="1"/>
    <x v="1"/>
    <m/>
    <m/>
  </r>
  <r>
    <s v="C1082"/>
    <x v="58"/>
    <x v="0"/>
    <x v="0"/>
    <n v="6.5"/>
    <x v="1"/>
    <x v="2"/>
    <m/>
    <m/>
  </r>
  <r>
    <s v="C1083"/>
    <x v="25"/>
    <x v="0"/>
    <x v="4"/>
    <n v="1.2"/>
    <x v="0"/>
    <x v="1"/>
    <m/>
    <m/>
  </r>
  <r>
    <s v="C1084"/>
    <x v="11"/>
    <x v="2"/>
    <x v="4"/>
    <n v="69.7"/>
    <x v="1"/>
    <x v="3"/>
    <m/>
    <m/>
  </r>
  <r>
    <s v="C1085"/>
    <x v="59"/>
    <x v="4"/>
    <x v="2"/>
    <n v="1.4"/>
    <x v="0"/>
    <x v="2"/>
    <m/>
    <m/>
  </r>
  <r>
    <s v="C1086"/>
    <x v="50"/>
    <x v="1"/>
    <x v="2"/>
    <n v="8.3000000000000007"/>
    <x v="1"/>
    <x v="2"/>
    <m/>
    <m/>
  </r>
  <r>
    <s v="C1087"/>
    <x v="8"/>
    <x v="1"/>
    <x v="1"/>
    <n v="23.3"/>
    <x v="1"/>
    <x v="3"/>
    <m/>
    <m/>
  </r>
  <r>
    <s v="C1088"/>
    <x v="2"/>
    <x v="3"/>
    <x v="4"/>
    <n v="58.3"/>
    <x v="1"/>
    <x v="2"/>
    <m/>
    <m/>
  </r>
  <r>
    <s v="C1089"/>
    <x v="60"/>
    <x v="0"/>
    <x v="3"/>
    <n v="69.3"/>
    <x v="1"/>
    <x v="3"/>
    <m/>
    <m/>
  </r>
  <r>
    <s v="C1090"/>
    <x v="61"/>
    <x v="1"/>
    <x v="4"/>
    <n v="57.1"/>
    <x v="0"/>
    <x v="2"/>
    <m/>
    <m/>
  </r>
  <r>
    <s v="C1091"/>
    <x v="62"/>
    <x v="0"/>
    <x v="3"/>
    <n v="50"/>
    <x v="0"/>
    <x v="1"/>
    <m/>
    <m/>
  </r>
  <r>
    <s v="C1092"/>
    <x v="61"/>
    <x v="1"/>
    <x v="0"/>
    <n v="38"/>
    <x v="0"/>
    <x v="2"/>
    <m/>
    <m/>
  </r>
  <r>
    <s v="C1093"/>
    <x v="63"/>
    <x v="2"/>
    <x v="4"/>
    <n v="7.2"/>
    <x v="1"/>
    <x v="3"/>
    <m/>
    <m/>
  </r>
  <r>
    <s v="C1094"/>
    <x v="37"/>
    <x v="4"/>
    <x v="0"/>
    <n v="69"/>
    <x v="1"/>
    <x v="1"/>
    <m/>
    <m/>
  </r>
  <r>
    <s v="C1095"/>
    <x v="56"/>
    <x v="1"/>
    <x v="2"/>
    <n v="54.8"/>
    <x v="1"/>
    <x v="2"/>
    <m/>
    <m/>
  </r>
  <r>
    <s v="C1096"/>
    <x v="64"/>
    <x v="0"/>
    <x v="2"/>
    <n v="46.4"/>
    <x v="1"/>
    <x v="1"/>
    <m/>
    <m/>
  </r>
  <r>
    <s v="C1097"/>
    <x v="22"/>
    <x v="2"/>
    <x v="1"/>
    <n v="54.9"/>
    <x v="1"/>
    <x v="3"/>
    <m/>
    <m/>
  </r>
  <r>
    <s v="C1098"/>
    <x v="65"/>
    <x v="1"/>
    <x v="4"/>
    <n v="52.4"/>
    <x v="1"/>
    <x v="1"/>
    <m/>
    <m/>
  </r>
  <r>
    <s v="C1099"/>
    <x v="1"/>
    <x v="3"/>
    <x v="0"/>
    <n v="46.2"/>
    <x v="1"/>
    <x v="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618B0C-78E8-48CE-B49E-D834FB6B7E3B}"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C18" firstHeaderRow="1" firstDataRow="1" firstDataCol="0"/>
  <pivotFields count="9">
    <pivotField showAll="0"/>
    <pivotField numFmtId="14" showAll="0">
      <items count="67">
        <item x="20"/>
        <item x="35"/>
        <item x="29"/>
        <item x="60"/>
        <item x="11"/>
        <item x="31"/>
        <item x="7"/>
        <item x="42"/>
        <item x="33"/>
        <item x="26"/>
        <item x="18"/>
        <item x="36"/>
        <item x="22"/>
        <item x="43"/>
        <item x="41"/>
        <item x="63"/>
        <item x="14"/>
        <item x="17"/>
        <item x="54"/>
        <item x="34"/>
        <item x="44"/>
        <item x="8"/>
        <item x="57"/>
        <item x="65"/>
        <item x="30"/>
        <item x="51"/>
        <item x="45"/>
        <item x="25"/>
        <item x="24"/>
        <item x="64"/>
        <item x="37"/>
        <item x="62"/>
        <item x="10"/>
        <item x="9"/>
        <item x="19"/>
        <item x="47"/>
        <item x="32"/>
        <item x="1"/>
        <item x="3"/>
        <item x="49"/>
        <item x="2"/>
        <item x="39"/>
        <item x="23"/>
        <item x="38"/>
        <item x="4"/>
        <item x="13"/>
        <item x="48"/>
        <item x="12"/>
        <item x="56"/>
        <item x="40"/>
        <item x="6"/>
        <item x="52"/>
        <item x="28"/>
        <item x="50"/>
        <item x="5"/>
        <item x="59"/>
        <item x="15"/>
        <item x="58"/>
        <item x="61"/>
        <item x="21"/>
        <item x="55"/>
        <item x="0"/>
        <item x="46"/>
        <item x="16"/>
        <item x="53"/>
        <item x="27"/>
        <item t="default"/>
      </items>
    </pivotField>
    <pivotField showAll="0">
      <items count="6">
        <item h="1" x="1"/>
        <item h="1" x="2"/>
        <item h="1" x="3"/>
        <item x="4"/>
        <item h="1" x="0"/>
        <item t="default"/>
      </items>
    </pivotField>
    <pivotField showAll="0">
      <items count="6">
        <item h="1" x="1"/>
        <item h="1" x="4"/>
        <item h="1" x="3"/>
        <item x="2"/>
        <item h="1" x="0"/>
        <item t="default"/>
      </items>
    </pivotField>
    <pivotField showAll="0"/>
    <pivotField showAll="0">
      <items count="3">
        <item x="0"/>
        <item h="1" x="1"/>
        <item t="default"/>
      </items>
    </pivotField>
    <pivotField showAll="0"/>
    <pivotField showAll="0"/>
    <pivotField showAll="0"/>
  </pivotFields>
  <pivotTableStyleInfo name="PivotStyleLight16" showRowHeaders="1" showColHeaders="1" showRowStripes="0" showColStripes="0" showLastColumn="1"/>
  <filters count="1">
    <filter fld="1" type="dateBetween" evalOrder="-1" id="4" name="Date">
      <autoFilter ref="A1">
        <filterColumn colId="0">
          <customFilters and="1">
            <customFilter operator="greaterThanOrEqual" val="45536"/>
            <customFilter operator="lessThanOrEqual" val="455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519876-12F7-4890-9CA5-5E9A4129E3AE}"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D2" firstHeaderRow="0" firstDataRow="1" firstDataCol="1"/>
  <pivotFields count="9">
    <pivotField showAll="0"/>
    <pivotField numFmtId="14" showAll="0">
      <items count="67">
        <item x="20"/>
        <item x="35"/>
        <item x="29"/>
        <item x="60"/>
        <item x="11"/>
        <item x="31"/>
        <item x="7"/>
        <item x="42"/>
        <item x="33"/>
        <item x="26"/>
        <item x="18"/>
        <item x="36"/>
        <item x="22"/>
        <item x="43"/>
        <item x="41"/>
        <item x="63"/>
        <item x="14"/>
        <item x="17"/>
        <item x="54"/>
        <item x="34"/>
        <item x="44"/>
        <item x="8"/>
        <item x="57"/>
        <item x="65"/>
        <item x="30"/>
        <item x="51"/>
        <item x="45"/>
        <item x="25"/>
        <item x="24"/>
        <item x="64"/>
        <item x="37"/>
        <item x="62"/>
        <item x="10"/>
        <item x="9"/>
        <item x="19"/>
        <item x="47"/>
        <item x="32"/>
        <item x="1"/>
        <item x="3"/>
        <item x="49"/>
        <item x="2"/>
        <item x="39"/>
        <item x="23"/>
        <item x="38"/>
        <item x="4"/>
        <item x="13"/>
        <item x="48"/>
        <item x="12"/>
        <item x="56"/>
        <item x="40"/>
        <item x="6"/>
        <item x="52"/>
        <item x="28"/>
        <item x="50"/>
        <item x="5"/>
        <item x="59"/>
        <item x="15"/>
        <item x="58"/>
        <item x="61"/>
        <item x="21"/>
        <item x="55"/>
        <item x="0"/>
        <item x="46"/>
        <item x="16"/>
        <item x="53"/>
        <item x="27"/>
        <item t="default"/>
      </items>
    </pivotField>
    <pivotField dataField="1" showAll="0">
      <items count="6">
        <item h="1" x="1"/>
        <item h="1" x="2"/>
        <item h="1" x="3"/>
        <item x="4"/>
        <item h="1" x="0"/>
        <item t="default"/>
      </items>
    </pivotField>
    <pivotField showAll="0">
      <items count="6">
        <item h="1" x="1"/>
        <item h="1" x="4"/>
        <item h="1" x="3"/>
        <item x="2"/>
        <item h="1" x="0"/>
        <item t="default"/>
      </items>
    </pivotField>
    <pivotField showAll="0"/>
    <pivotField showAll="0">
      <items count="3">
        <item x="0"/>
        <item h="1" x="1"/>
        <item t="default"/>
      </items>
    </pivotField>
    <pivotField axis="axisRow" showAll="0">
      <items count="5">
        <item x="0"/>
        <item x="1"/>
        <item x="3"/>
        <item x="2"/>
        <item t="default"/>
      </items>
    </pivotField>
    <pivotField dataField="1" showAll="0"/>
    <pivotField dataField="1" showAll="0"/>
  </pivotFields>
  <rowFields count="1">
    <field x="6"/>
  </rowFields>
  <rowItems count="1">
    <i t="grand">
      <x/>
    </i>
  </rowItems>
  <colFields count="1">
    <field x="-2"/>
  </colFields>
  <colItems count="3">
    <i>
      <x/>
    </i>
    <i i="1">
      <x v="1"/>
    </i>
    <i i="2">
      <x v="2"/>
    </i>
  </colItems>
  <dataFields count="3">
    <dataField name="Sum of Resolution Rate" fld="7" baseField="0" baseItem="0"/>
    <dataField name="Average of Service Rating" fld="2" subtotal="average" baseField="6" baseItem="0"/>
    <dataField name="Sum of NPS" fld="8"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 type="dateBetween" evalOrder="-1" id="4" name="Date">
      <autoFilter ref="A1">
        <filterColumn colId="0">
          <customFilters and="1">
            <customFilter operator="greaterThanOrEqual" val="45536"/>
            <customFilter operator="lessThanOrEqual" val="455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Rating" xr10:uid="{6912F168-989C-43A5-B684-FAA879BFFA71}" sourceName="Service Rating">
  <pivotTables>
    <pivotTable tabId="11" name="PivotTable17"/>
    <pivotTable tabId="10" name="PivotTable16"/>
  </pivotTables>
  <data>
    <tabular pivotCacheId="755173469">
      <items count="5">
        <i x="3"/>
        <i x="4" s="1"/>
        <i x="0"/>
        <i x="1"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edback_Category" xr10:uid="{E4A6ED43-DE79-4473-917E-54838D3339C0}" sourceName="Feedback Category">
  <pivotTables>
    <pivotTable tabId="11" name="PivotTable17"/>
    <pivotTable tabId="10" name="PivotTable16"/>
  </pivotTables>
  <data>
    <tabular pivotCacheId="755173469">
      <items count="5">
        <i x="1"/>
        <i x="4"/>
        <i x="2" s="1"/>
        <i x="3" nd="1"/>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sue_Resolved" xr10:uid="{D2D3B4D6-74B7-4367-B676-DF313595489C}" sourceName="Issue Resolved">
  <pivotTables>
    <pivotTable tabId="11" name="PivotTable17"/>
    <pivotTable tabId="10" name="PivotTable16"/>
  </pivotTables>
  <data>
    <tabular pivotCacheId="755173469">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rvice Rating" xr10:uid="{681B17CE-D2D8-4DCF-9C91-75F8A829933E}" cache="Slicer_Service_Rating" caption="Service Rating" rowHeight="234950"/>
  <slicer name="Feedback Category" xr10:uid="{3E9B3ECB-E5E5-47BE-923B-16506766D3D8}" cache="Slicer_Feedback_Category" caption="Feedback Category" rowHeight="234950"/>
  <slicer name="Issue Resolved" xr10:uid="{12053463-613B-45AC-B1CC-1C68260D248F}" cache="Slicer_Issue_Resolved" caption="Issue Resolve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rvice Rating 1" xr10:uid="{E8AB267A-6A84-4783-ACA9-AE18EE5FFB97}" cache="Slicer_Service_Rating" caption="Service Rating" rowHeight="234950"/>
  <slicer name="Feedback Category 1" xr10:uid="{025DC5C6-8814-4205-BBF3-F204C39E912D}" cache="Slicer_Feedback_Category" caption="Feedback Category" rowHeight="234950"/>
  <slicer name="Issue Resolved 1" xr10:uid="{C1440E85-6B14-4214-8093-83781805C3D4}" cache="Slicer_Issue_Resolved" caption="Issue Resolve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C220B3-8B53-4100-898D-AFD0B304341D}" name="Table2" displayName="Table2" ref="A1:I101" totalsRowShown="0">
  <autoFilter ref="A1:I101" xr:uid="{72C220B3-8B53-4100-898D-AFD0B304341D}"/>
  <tableColumns count="9">
    <tableColumn id="1" xr3:uid="{896B0964-B182-4D8F-8A59-D16E860A1736}" name="Customer ID"/>
    <tableColumn id="2" xr3:uid="{30358D93-4740-4614-AFAD-CD86517F3808}" name="Date" dataDxfId="0"/>
    <tableColumn id="3" xr3:uid="{D8F71EBE-894A-45C2-8BCA-B18EB0C3505F}" name="Service Rating"/>
    <tableColumn id="4" xr3:uid="{E8774EF0-B5A3-4491-B001-71052615F6F8}" name="Feedback Category"/>
    <tableColumn id="5" xr3:uid="{8676F8AA-79C2-4B34-BAA8-76108A0365AF}" name="Response Time (hours)"/>
    <tableColumn id="6" xr3:uid="{078635CE-33D4-424A-A3ED-BE3D7E9F5D5B}" name="Issue Resolved"/>
    <tableColumn id="7" xr3:uid="{E7BDB45D-DA82-429B-8F1C-5620D03E1711}" name="Month">
      <calculatedColumnFormula>TEXT(B2,"MMM-YY")</calculatedColumnFormula>
    </tableColumn>
    <tableColumn id="8" xr3:uid="{CD33C62D-F79A-41ED-8000-999301057F78}" name="Resolution Rate"/>
    <tableColumn id="9" xr3:uid="{BA110354-A507-4FED-986D-944ABC1290F4}" name="NP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42949B9-AD60-41A0-981C-86A5FF9B0A41}" sourceName="Date">
  <pivotTables>
    <pivotTable tabId="11" name="PivotTable17"/>
    <pivotTable tabId="10" name="PivotTable16"/>
  </pivotTables>
  <state minimalRefreshVersion="6" lastRefreshVersion="6" pivotCacheId="755173469" filterType="dateBetween">
    <selection startDate="2024-09-01T00:00:00" endDate="2024-09-30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ECFBE3D-E918-4518-8002-521E2EFBF869}" cache="NativeTimeline_Date" caption="Date" level="2" selectionLevel="2" scrollPosition="2024-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6B628977-13C3-4BE4-9A23-3F6ED28F8CF5}" cache="NativeTimeline_Date" caption="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03AF4-8DA7-4978-8DC2-769A23F6E6D2}">
  <dimension ref="A1:B7"/>
  <sheetViews>
    <sheetView workbookViewId="0">
      <selection activeCell="L22" sqref="L22"/>
    </sheetView>
  </sheetViews>
  <sheetFormatPr defaultRowHeight="14.4" x14ac:dyDescent="0.3"/>
  <sheetData>
    <row r="1" spans="1:2" x14ac:dyDescent="0.3">
      <c r="A1" s="9" t="s">
        <v>184</v>
      </c>
      <c r="B1" s="9" t="s">
        <v>182</v>
      </c>
    </row>
    <row r="2" spans="1:2" x14ac:dyDescent="0.3">
      <c r="A2" t="s">
        <v>71</v>
      </c>
      <c r="B2">
        <f>COUNTIF(dataset!D:D,"Website")</f>
        <v>17</v>
      </c>
    </row>
    <row r="3" spans="1:2" x14ac:dyDescent="0.3">
      <c r="A3" t="s">
        <v>74</v>
      </c>
      <c r="B3">
        <f>COUNTIF(dataset!D:D,"Billing")</f>
        <v>22</v>
      </c>
    </row>
    <row r="4" spans="1:2" x14ac:dyDescent="0.3">
      <c r="A4" t="s">
        <v>76</v>
      </c>
      <c r="B4">
        <f>COUNTIF(dataset!D:D,"Service")</f>
        <v>19</v>
      </c>
    </row>
    <row r="5" spans="1:2" x14ac:dyDescent="0.3">
      <c r="A5" t="s">
        <v>79</v>
      </c>
      <c r="B5">
        <f>COUNTIF(dataset!D2:D101,"Product")</f>
        <v>24</v>
      </c>
    </row>
    <row r="6" spans="1:2" x14ac:dyDescent="0.3">
      <c r="A6" t="s">
        <v>76</v>
      </c>
      <c r="B6">
        <f>COUNTIF(dataset!D:D,"Service")</f>
        <v>19</v>
      </c>
    </row>
    <row r="7" spans="1:2" x14ac:dyDescent="0.3">
      <c r="A7" t="s">
        <v>94</v>
      </c>
      <c r="B7">
        <f>COUNTIF(dataset!D:D,"Other")</f>
        <v>18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AF304-FD07-45C1-9BFC-F3CB53F6C84C}">
  <dimension ref="A1:I118"/>
  <sheetViews>
    <sheetView topLeftCell="A45" workbookViewId="0">
      <selection activeCell="C90" sqref="C90"/>
    </sheetView>
  </sheetViews>
  <sheetFormatPr defaultRowHeight="14.4" x14ac:dyDescent="0.3"/>
  <sheetData>
    <row r="1" spans="1:9" ht="18" thickBot="1" x14ac:dyDescent="0.35">
      <c r="A1" s="1" t="s">
        <v>0</v>
      </c>
      <c r="B1" s="2"/>
      <c r="C1" s="2"/>
      <c r="D1" s="2"/>
      <c r="E1" s="2"/>
      <c r="F1" s="2"/>
      <c r="G1" s="2"/>
      <c r="H1" s="2"/>
      <c r="I1" s="2"/>
    </row>
    <row r="2" spans="1:9" ht="15" thickBot="1" x14ac:dyDescent="0.35">
      <c r="A2" s="2"/>
      <c r="B2" s="2"/>
      <c r="C2" s="2"/>
      <c r="D2" s="2"/>
      <c r="E2" s="2"/>
      <c r="F2" s="2"/>
      <c r="G2" s="2"/>
      <c r="H2" s="2"/>
      <c r="I2" s="2"/>
    </row>
    <row r="3" spans="1:9" ht="15" thickBot="1" x14ac:dyDescent="0.35">
      <c r="A3" s="3" t="s">
        <v>1</v>
      </c>
      <c r="B3" s="2"/>
      <c r="C3" s="2"/>
      <c r="D3" s="2"/>
      <c r="E3" s="2"/>
      <c r="F3" s="2"/>
      <c r="G3" s="2"/>
      <c r="H3" s="2"/>
      <c r="I3" s="2"/>
    </row>
    <row r="4" spans="1:9" ht="15" thickBot="1" x14ac:dyDescent="0.35">
      <c r="A4" s="4"/>
      <c r="B4" s="2"/>
      <c r="C4" s="2"/>
      <c r="D4" s="2"/>
      <c r="E4" s="2"/>
      <c r="F4" s="2"/>
      <c r="G4" s="2"/>
      <c r="H4" s="2"/>
      <c r="I4" s="2"/>
    </row>
    <row r="5" spans="1:9" ht="15" thickBot="1" x14ac:dyDescent="0.35">
      <c r="A5" s="3" t="s">
        <v>2</v>
      </c>
      <c r="B5" s="2"/>
      <c r="C5" s="2"/>
      <c r="D5" s="2"/>
      <c r="E5" s="2"/>
      <c r="F5" s="2"/>
      <c r="G5" s="2"/>
      <c r="H5" s="2"/>
      <c r="I5" s="2"/>
    </row>
    <row r="6" spans="1:9" ht="15" thickBot="1" x14ac:dyDescent="0.35">
      <c r="A6" s="4"/>
      <c r="B6" s="2"/>
      <c r="C6" s="2"/>
      <c r="D6" s="2"/>
      <c r="E6" s="2"/>
      <c r="F6" s="2"/>
      <c r="G6" s="2"/>
      <c r="H6" s="2"/>
      <c r="I6" s="2"/>
    </row>
    <row r="7" spans="1:9" ht="15" thickBot="1" x14ac:dyDescent="0.35">
      <c r="A7" s="5" t="s">
        <v>3</v>
      </c>
      <c r="B7" s="2"/>
      <c r="C7" s="2"/>
      <c r="D7" s="2"/>
      <c r="E7" s="2"/>
      <c r="F7" s="2"/>
      <c r="G7" s="2"/>
      <c r="H7" s="2"/>
      <c r="I7" s="2"/>
    </row>
    <row r="8" spans="1:9" ht="15" thickBot="1" x14ac:dyDescent="0.35">
      <c r="A8" s="4"/>
      <c r="B8" s="2"/>
      <c r="C8" s="2"/>
      <c r="D8" s="2"/>
      <c r="E8" s="2"/>
      <c r="F8" s="2"/>
      <c r="G8" s="2"/>
      <c r="H8" s="2"/>
      <c r="I8" s="2"/>
    </row>
    <row r="12" spans="1:9" x14ac:dyDescent="0.3">
      <c r="A12" s="6" t="s">
        <v>4</v>
      </c>
    </row>
    <row r="14" spans="1:9" x14ac:dyDescent="0.3">
      <c r="A14" s="7" t="s">
        <v>5</v>
      </c>
    </row>
    <row r="16" spans="1:9" x14ac:dyDescent="0.3">
      <c r="A16" s="7" t="s">
        <v>6</v>
      </c>
    </row>
    <row r="18" spans="1:1" x14ac:dyDescent="0.3">
      <c r="A18" s="7" t="s">
        <v>7</v>
      </c>
    </row>
    <row r="20" spans="1:1" x14ac:dyDescent="0.3">
      <c r="A20" s="7" t="s">
        <v>8</v>
      </c>
    </row>
    <row r="22" spans="1:1" x14ac:dyDescent="0.3">
      <c r="A22" s="7" t="s">
        <v>9</v>
      </c>
    </row>
    <row r="24" spans="1:1" x14ac:dyDescent="0.3">
      <c r="A24" s="7" t="s">
        <v>10</v>
      </c>
    </row>
    <row r="25" spans="1:1" x14ac:dyDescent="0.3">
      <c r="A25" s="6" t="s">
        <v>11</v>
      </c>
    </row>
    <row r="27" spans="1:1" x14ac:dyDescent="0.3">
      <c r="A27" s="7" t="s">
        <v>12</v>
      </c>
    </row>
    <row r="29" spans="1:1" x14ac:dyDescent="0.3">
      <c r="A29" s="7" t="s">
        <v>13</v>
      </c>
    </row>
    <row r="31" spans="1:1" x14ac:dyDescent="0.3">
      <c r="A31" s="7" t="s">
        <v>14</v>
      </c>
    </row>
    <row r="33" spans="1:1" x14ac:dyDescent="0.3">
      <c r="A33" s="7" t="s">
        <v>15</v>
      </c>
    </row>
    <row r="34" spans="1:1" x14ac:dyDescent="0.3">
      <c r="A34" s="6" t="s">
        <v>16</v>
      </c>
    </row>
    <row r="36" spans="1:1" x14ac:dyDescent="0.3">
      <c r="A36" s="7" t="s">
        <v>17</v>
      </c>
    </row>
    <row r="38" spans="1:1" x14ac:dyDescent="0.3">
      <c r="A38" s="7" t="s">
        <v>18</v>
      </c>
    </row>
    <row r="40" spans="1:1" x14ac:dyDescent="0.3">
      <c r="A40" s="7" t="s">
        <v>19</v>
      </c>
    </row>
    <row r="42" spans="1:1" x14ac:dyDescent="0.3">
      <c r="A42" s="7" t="s">
        <v>20</v>
      </c>
    </row>
    <row r="43" spans="1:1" x14ac:dyDescent="0.3">
      <c r="A43" s="6" t="s">
        <v>21</v>
      </c>
    </row>
    <row r="45" spans="1:1" x14ac:dyDescent="0.3">
      <c r="A45" s="7" t="s">
        <v>22</v>
      </c>
    </row>
    <row r="47" spans="1:1" x14ac:dyDescent="0.3">
      <c r="A47" s="7" t="s">
        <v>23</v>
      </c>
    </row>
    <row r="49" spans="1:1" x14ac:dyDescent="0.3">
      <c r="A49" s="7" t="s">
        <v>24</v>
      </c>
    </row>
    <row r="51" spans="1:1" x14ac:dyDescent="0.3">
      <c r="A51" s="7" t="s">
        <v>25</v>
      </c>
    </row>
    <row r="52" spans="1:1" x14ac:dyDescent="0.3">
      <c r="A52" s="6" t="s">
        <v>26</v>
      </c>
    </row>
    <row r="54" spans="1:1" x14ac:dyDescent="0.3">
      <c r="A54" s="7" t="s">
        <v>27</v>
      </c>
    </row>
    <row r="56" spans="1:1" x14ac:dyDescent="0.3">
      <c r="A56" s="7" t="s">
        <v>28</v>
      </c>
    </row>
    <row r="58" spans="1:1" x14ac:dyDescent="0.3">
      <c r="A58" s="7" t="s">
        <v>29</v>
      </c>
    </row>
    <row r="60" spans="1:1" x14ac:dyDescent="0.3">
      <c r="A60" s="7" t="s">
        <v>30</v>
      </c>
    </row>
    <row r="61" spans="1:1" x14ac:dyDescent="0.3">
      <c r="A61" s="6" t="s">
        <v>31</v>
      </c>
    </row>
    <row r="63" spans="1:1" x14ac:dyDescent="0.3">
      <c r="A63" s="7" t="s">
        <v>32</v>
      </c>
    </row>
    <row r="65" spans="1:1" x14ac:dyDescent="0.3">
      <c r="A65" s="7" t="s">
        <v>33</v>
      </c>
    </row>
    <row r="67" spans="1:1" x14ac:dyDescent="0.3">
      <c r="A67" s="7" t="s">
        <v>34</v>
      </c>
    </row>
    <row r="69" spans="1:1" x14ac:dyDescent="0.3">
      <c r="A69" s="7" t="s">
        <v>35</v>
      </c>
    </row>
    <row r="70" spans="1:1" x14ac:dyDescent="0.3">
      <c r="A70" s="6" t="s">
        <v>36</v>
      </c>
    </row>
    <row r="72" spans="1:1" x14ac:dyDescent="0.3">
      <c r="A72" s="7" t="s">
        <v>37</v>
      </c>
    </row>
    <row r="74" spans="1:1" x14ac:dyDescent="0.3">
      <c r="A74" s="7" t="s">
        <v>38</v>
      </c>
    </row>
    <row r="76" spans="1:1" x14ac:dyDescent="0.3">
      <c r="A76" s="7" t="s">
        <v>39</v>
      </c>
    </row>
    <row r="78" spans="1:1" x14ac:dyDescent="0.3">
      <c r="A78" s="7" t="s">
        <v>40</v>
      </c>
    </row>
    <row r="79" spans="1:1" x14ac:dyDescent="0.3">
      <c r="A79" s="6" t="s">
        <v>41</v>
      </c>
    </row>
    <row r="81" spans="1:1" x14ac:dyDescent="0.3">
      <c r="A81" s="7" t="s">
        <v>42</v>
      </c>
    </row>
    <row r="83" spans="1:1" x14ac:dyDescent="0.3">
      <c r="A83" s="7" t="s">
        <v>43</v>
      </c>
    </row>
    <row r="85" spans="1:1" x14ac:dyDescent="0.3">
      <c r="A85" s="7" t="s">
        <v>44</v>
      </c>
    </row>
    <row r="87" spans="1:1" x14ac:dyDescent="0.3">
      <c r="A87" s="7" t="s">
        <v>45</v>
      </c>
    </row>
    <row r="89" spans="1:1" x14ac:dyDescent="0.3">
      <c r="A89" s="7" t="s">
        <v>46</v>
      </c>
    </row>
    <row r="90" spans="1:1" x14ac:dyDescent="0.3">
      <c r="A90" s="6" t="s">
        <v>47</v>
      </c>
    </row>
    <row r="92" spans="1:1" x14ac:dyDescent="0.3">
      <c r="A92" s="7" t="s">
        <v>48</v>
      </c>
    </row>
    <row r="94" spans="1:1" x14ac:dyDescent="0.3">
      <c r="A94" s="7" t="s">
        <v>49</v>
      </c>
    </row>
    <row r="96" spans="1:1" x14ac:dyDescent="0.3">
      <c r="A96" s="7" t="s">
        <v>50</v>
      </c>
    </row>
    <row r="98" spans="1:1" x14ac:dyDescent="0.3">
      <c r="A98" t="s">
        <v>51</v>
      </c>
    </row>
    <row r="99" spans="1:1" x14ac:dyDescent="0.3">
      <c r="A99" s="6" t="s">
        <v>52</v>
      </c>
    </row>
    <row r="101" spans="1:1" x14ac:dyDescent="0.3">
      <c r="A101" s="7" t="s">
        <v>53</v>
      </c>
    </row>
    <row r="103" spans="1:1" x14ac:dyDescent="0.3">
      <c r="A103" s="7" t="s">
        <v>54</v>
      </c>
    </row>
    <row r="105" spans="1:1" x14ac:dyDescent="0.3">
      <c r="A105" s="7" t="s">
        <v>55</v>
      </c>
    </row>
    <row r="107" spans="1:1" x14ac:dyDescent="0.3">
      <c r="A107" s="7" t="s">
        <v>56</v>
      </c>
    </row>
    <row r="108" spans="1:1" x14ac:dyDescent="0.3">
      <c r="A108" s="6"/>
    </row>
    <row r="109" spans="1:1" x14ac:dyDescent="0.3">
      <c r="A109" s="6"/>
    </row>
    <row r="110" spans="1:1" x14ac:dyDescent="0.3">
      <c r="A110" s="6" t="s">
        <v>57</v>
      </c>
    </row>
    <row r="111" spans="1:1" x14ac:dyDescent="0.3">
      <c r="A111" s="7" t="s">
        <v>58</v>
      </c>
    </row>
    <row r="113" spans="1:1" x14ac:dyDescent="0.3">
      <c r="A113" s="7" t="s">
        <v>59</v>
      </c>
    </row>
    <row r="114" spans="1:1" x14ac:dyDescent="0.3">
      <c r="A114" s="7" t="s">
        <v>60</v>
      </c>
    </row>
    <row r="115" spans="1:1" x14ac:dyDescent="0.3">
      <c r="A115" s="7" t="s">
        <v>61</v>
      </c>
    </row>
    <row r="116" spans="1:1" x14ac:dyDescent="0.3">
      <c r="A116" s="7" t="s">
        <v>62</v>
      </c>
    </row>
    <row r="118" spans="1:1" x14ac:dyDescent="0.3">
      <c r="A118" s="7" t="s">
        <v>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EE729-9553-4866-BCF1-402134EF867D}">
  <dimension ref="A1:C18"/>
  <sheetViews>
    <sheetView workbookViewId="0">
      <selection activeCell="F29" sqref="F29"/>
    </sheetView>
  </sheetViews>
  <sheetFormatPr defaultRowHeight="14.4" x14ac:dyDescent="0.3"/>
  <sheetData>
    <row r="1" spans="1:3" x14ac:dyDescent="0.3">
      <c r="A1" s="14"/>
      <c r="B1" s="15"/>
      <c r="C1" s="16"/>
    </row>
    <row r="2" spans="1:3" x14ac:dyDescent="0.3">
      <c r="A2" s="17"/>
      <c r="B2" s="18"/>
      <c r="C2" s="19"/>
    </row>
    <row r="3" spans="1:3" x14ac:dyDescent="0.3">
      <c r="A3" s="17"/>
      <c r="B3" s="18"/>
      <c r="C3" s="19"/>
    </row>
    <row r="4" spans="1:3" x14ac:dyDescent="0.3">
      <c r="A4" s="17"/>
      <c r="B4" s="18"/>
      <c r="C4" s="19"/>
    </row>
    <row r="5" spans="1:3" x14ac:dyDescent="0.3">
      <c r="A5" s="17"/>
      <c r="B5" s="18"/>
      <c r="C5" s="19"/>
    </row>
    <row r="6" spans="1:3" x14ac:dyDescent="0.3">
      <c r="A6" s="17"/>
      <c r="B6" s="18"/>
      <c r="C6" s="19"/>
    </row>
    <row r="7" spans="1:3" x14ac:dyDescent="0.3">
      <c r="A7" s="17"/>
      <c r="B7" s="18"/>
      <c r="C7" s="19"/>
    </row>
    <row r="8" spans="1:3" x14ac:dyDescent="0.3">
      <c r="A8" s="17"/>
      <c r="B8" s="18"/>
      <c r="C8" s="19"/>
    </row>
    <row r="9" spans="1:3" x14ac:dyDescent="0.3">
      <c r="A9" s="17"/>
      <c r="B9" s="18"/>
      <c r="C9" s="19"/>
    </row>
    <row r="10" spans="1:3" x14ac:dyDescent="0.3">
      <c r="A10" s="17"/>
      <c r="B10" s="18"/>
      <c r="C10" s="19"/>
    </row>
    <row r="11" spans="1:3" x14ac:dyDescent="0.3">
      <c r="A11" s="17"/>
      <c r="B11" s="18"/>
      <c r="C11" s="19"/>
    </row>
    <row r="12" spans="1:3" x14ac:dyDescent="0.3">
      <c r="A12" s="17"/>
      <c r="B12" s="18"/>
      <c r="C12" s="19"/>
    </row>
    <row r="13" spans="1:3" x14ac:dyDescent="0.3">
      <c r="A13" s="17"/>
      <c r="B13" s="18"/>
      <c r="C13" s="19"/>
    </row>
    <row r="14" spans="1:3" x14ac:dyDescent="0.3">
      <c r="A14" s="17"/>
      <c r="B14" s="18"/>
      <c r="C14" s="19"/>
    </row>
    <row r="15" spans="1:3" x14ac:dyDescent="0.3">
      <c r="A15" s="17"/>
      <c r="B15" s="18"/>
      <c r="C15" s="19"/>
    </row>
    <row r="16" spans="1:3" x14ac:dyDescent="0.3">
      <c r="A16" s="17"/>
      <c r="B16" s="18"/>
      <c r="C16" s="19"/>
    </row>
    <row r="17" spans="1:3" x14ac:dyDescent="0.3">
      <c r="A17" s="17"/>
      <c r="B17" s="18"/>
      <c r="C17" s="19"/>
    </row>
    <row r="18" spans="1:3" x14ac:dyDescent="0.3">
      <c r="A18" s="20"/>
      <c r="B18" s="21"/>
      <c r="C18" s="22"/>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C24D1-6889-47E1-AAAE-B55B23A006E1}">
  <dimension ref="A1:B6"/>
  <sheetViews>
    <sheetView workbookViewId="0">
      <selection activeCell="N31" sqref="N31"/>
    </sheetView>
  </sheetViews>
  <sheetFormatPr defaultRowHeight="14.4" x14ac:dyDescent="0.3"/>
  <cols>
    <col min="2" max="2" width="19.21875" customWidth="1"/>
  </cols>
  <sheetData>
    <row r="1" spans="1:2" x14ac:dyDescent="0.3">
      <c r="A1" s="10" t="s">
        <v>184</v>
      </c>
      <c r="B1" t="s">
        <v>198</v>
      </c>
    </row>
    <row r="2" spans="1:2" x14ac:dyDescent="0.3">
      <c r="A2" t="s">
        <v>74</v>
      </c>
      <c r="B2">
        <f>AVERAGEIF(dataset!D2:D101,"Billing",dataset!E2:E101)</f>
        <v>41.177272727272729</v>
      </c>
    </row>
    <row r="3" spans="1:2" x14ac:dyDescent="0.3">
      <c r="A3" t="s">
        <v>76</v>
      </c>
      <c r="B3">
        <f>AVERAGEIF(dataset!D3:D102,"Service",dataset!E2:E101)</f>
        <v>43.368421052631575</v>
      </c>
    </row>
    <row r="4" spans="1:2" x14ac:dyDescent="0.3">
      <c r="A4" t="s">
        <v>79</v>
      </c>
      <c r="B4">
        <f>AVERAGEIF(dataset!D4:D103,"Product",dataset!E2:E101)</f>
        <v>39.783333333333324</v>
      </c>
    </row>
    <row r="5" spans="1:2" x14ac:dyDescent="0.3">
      <c r="A5" t="s">
        <v>71</v>
      </c>
      <c r="B5">
        <f>AVERAGEIF(dataset!D5:D104,"Website",dataset!E2:E101)</f>
        <v>46.374999999999993</v>
      </c>
    </row>
    <row r="6" spans="1:2" x14ac:dyDescent="0.3">
      <c r="A6" t="s">
        <v>94</v>
      </c>
      <c r="B6">
        <f>AVERAGEIF(dataset!D6:D105,"Other",dataset!E2:E101)</f>
        <v>38.883333333333333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7C1B4-9A90-49DF-A70F-17E31D927C81}">
  <dimension ref="A1:C18"/>
  <sheetViews>
    <sheetView workbookViewId="0">
      <selection activeCell="C2" sqref="C2"/>
    </sheetView>
  </sheetViews>
  <sheetFormatPr defaultRowHeight="14.4" x14ac:dyDescent="0.3"/>
  <cols>
    <col min="1" max="1" width="12.109375" customWidth="1"/>
    <col min="2" max="2" width="11.88671875" customWidth="1"/>
    <col min="3" max="3" width="18.109375" customWidth="1"/>
  </cols>
  <sheetData>
    <row r="1" spans="1:3" ht="28.8" x14ac:dyDescent="0.3">
      <c r="A1" s="10" t="s">
        <v>184</v>
      </c>
      <c r="B1" s="10" t="s">
        <v>196</v>
      </c>
      <c r="C1" s="10" t="s">
        <v>197</v>
      </c>
    </row>
    <row r="2" spans="1:3" x14ac:dyDescent="0.3">
      <c r="A2" t="s">
        <v>74</v>
      </c>
      <c r="B2">
        <f>COUNTIFS(dataset!D:D,"Billing",dataset!F:F,"Yes")</f>
        <v>18</v>
      </c>
      <c r="C2">
        <f>COUNTIFS(dataset!D:D,"Billing",dataset!F:F,"No")</f>
        <v>4</v>
      </c>
    </row>
    <row r="3" spans="1:3" x14ac:dyDescent="0.3">
      <c r="A3" t="s">
        <v>76</v>
      </c>
      <c r="B3">
        <f>COUNTIFS(dataset!D:D,"Service",dataset!F:F,"Yes")</f>
        <v>16</v>
      </c>
      <c r="C3">
        <f>COUNTIFS(dataset!D:D,"Service",dataset!F:F,"No")</f>
        <v>3</v>
      </c>
    </row>
    <row r="4" spans="1:3" x14ac:dyDescent="0.3">
      <c r="A4" t="s">
        <v>79</v>
      </c>
      <c r="B4">
        <f>COUNTIFS(dataset!D:D,"Product",dataset!F:F,"Yes")</f>
        <v>19</v>
      </c>
      <c r="C4">
        <f>COUNTIFS(dataset!D:D,"Product",dataset!F:F,"No")</f>
        <v>5</v>
      </c>
    </row>
    <row r="5" spans="1:3" x14ac:dyDescent="0.3">
      <c r="A5" t="s">
        <v>71</v>
      </c>
      <c r="B5">
        <f>COUNTIFS(dataset!D:D,"Website",dataset!F:F,"Yes")</f>
        <v>13</v>
      </c>
      <c r="C5">
        <f>COUNTIFS(dataset!D:D,"Website",dataset!F:F,"No")</f>
        <v>4</v>
      </c>
    </row>
    <row r="6" spans="1:3" x14ac:dyDescent="0.3">
      <c r="A6" t="s">
        <v>94</v>
      </c>
      <c r="B6">
        <f>COUNTIFS(dataset!D:D,"Other",dataset!F:F,"Yes")</f>
        <v>14</v>
      </c>
      <c r="C6">
        <f>COUNTIFS(dataset!D:D,"Other",dataset!F:F,"No")</f>
        <v>4</v>
      </c>
    </row>
    <row r="13" spans="1:3" x14ac:dyDescent="0.3">
      <c r="A13" s="10" t="s">
        <v>184</v>
      </c>
      <c r="B13" s="9" t="s">
        <v>180</v>
      </c>
    </row>
    <row r="14" spans="1:3" x14ac:dyDescent="0.3">
      <c r="A14" t="s">
        <v>74</v>
      </c>
      <c r="B14">
        <f>dataset!H2</f>
        <v>80</v>
      </c>
    </row>
    <row r="15" spans="1:3" x14ac:dyDescent="0.3">
      <c r="A15" t="s">
        <v>76</v>
      </c>
    </row>
    <row r="16" spans="1:3" x14ac:dyDescent="0.3">
      <c r="A16" t="s">
        <v>79</v>
      </c>
    </row>
    <row r="17" spans="1:1" x14ac:dyDescent="0.3">
      <c r="A17" t="s">
        <v>71</v>
      </c>
    </row>
    <row r="18" spans="1:1" x14ac:dyDescent="0.3">
      <c r="A18" t="s">
        <v>94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A6BB5-630E-4D31-B20C-377EFB6539A1}">
  <dimension ref="A1:F6"/>
  <sheetViews>
    <sheetView workbookViewId="0">
      <selection sqref="A1:F6"/>
    </sheetView>
  </sheetViews>
  <sheetFormatPr defaultRowHeight="14.4" x14ac:dyDescent="0.3"/>
  <cols>
    <col min="1" max="1" width="28.5546875" customWidth="1"/>
  </cols>
  <sheetData>
    <row r="1" spans="1:6" x14ac:dyDescent="0.3">
      <c r="A1" s="26" t="s">
        <v>181</v>
      </c>
      <c r="B1" s="26" t="s">
        <v>74</v>
      </c>
      <c r="C1" s="26" t="s">
        <v>76</v>
      </c>
      <c r="D1" s="26" t="s">
        <v>79</v>
      </c>
      <c r="E1" s="26" t="s">
        <v>71</v>
      </c>
      <c r="F1" s="26" t="s">
        <v>94</v>
      </c>
    </row>
    <row r="2" spans="1:6" x14ac:dyDescent="0.3">
      <c r="A2" s="25">
        <v>1</v>
      </c>
      <c r="B2" s="25">
        <f>COUNTIFS(dataset!$D:$D,"Billing",dataset!$C:$C,1)</f>
        <v>5</v>
      </c>
      <c r="C2" s="25">
        <f>COUNTIFS(dataset!$D:$D,"Service",dataset!$C:$C,1)</f>
        <v>5</v>
      </c>
      <c r="D2" s="25">
        <f>COUNTIFS(dataset!$D:$D,"Product",dataset!$C:$C,1)</f>
        <v>3</v>
      </c>
      <c r="E2" s="25">
        <f>COUNTIFS(dataset!$D:$D,"Website",dataset!$C:$C,1)</f>
        <v>4</v>
      </c>
      <c r="F2" s="25">
        <f>COUNTIFS(dataset!$D:$D,"Other",dataset!$C:$C,1)</f>
        <v>5</v>
      </c>
    </row>
    <row r="3" spans="1:6" x14ac:dyDescent="0.3">
      <c r="A3" s="25">
        <v>2</v>
      </c>
      <c r="B3" s="25">
        <f>COUNTIFS(dataset!D:D,"Billing",dataset!C:C,2)</f>
        <v>4</v>
      </c>
      <c r="C3" s="25">
        <f>COUNTIFS(dataset!$D:$D,"Service",dataset!$C:$C,2)</f>
        <v>3</v>
      </c>
      <c r="D3" s="25">
        <f>COUNTIFS(dataset!$D:$D,"Product",dataset!$C:$C,2)</f>
        <v>2</v>
      </c>
      <c r="E3" s="25">
        <f>COUNTIFS(dataset!$D:$D,"Website",dataset!$C:$C,2)</f>
        <v>3</v>
      </c>
      <c r="F3" s="25">
        <f>COUNTIFS(dataset!$D:$D,"Other",dataset!$C:$C,2)</f>
        <v>4</v>
      </c>
    </row>
    <row r="4" spans="1:6" x14ac:dyDescent="0.3">
      <c r="A4" s="25">
        <v>3</v>
      </c>
      <c r="B4" s="25">
        <f>COUNTIFS(dataset!D:D,"Billing",dataset!C:C,3)</f>
        <v>4</v>
      </c>
      <c r="C4" s="25">
        <f>COUNTIFS(dataset!$D:$D,"Service",dataset!$C:$C,3)</f>
        <v>3</v>
      </c>
      <c r="D4" s="25">
        <f>COUNTIFS(dataset!$D:$D,"Product",dataset!$C:$C,3)</f>
        <v>6</v>
      </c>
      <c r="E4" s="25">
        <f>COUNTIFS(dataset!$D:$D,"Website",dataset!$C:$C,3)</f>
        <v>4</v>
      </c>
      <c r="F4" s="25">
        <f>COUNTIFS(dataset!$D:$D,"Other",dataset!$C:$C,3)</f>
        <v>2</v>
      </c>
    </row>
    <row r="5" spans="1:6" x14ac:dyDescent="0.3">
      <c r="A5" s="25">
        <v>4</v>
      </c>
      <c r="B5" s="25">
        <f>COUNTIFS(dataset!D:D,"Billing",dataset!C:C,4)</f>
        <v>6</v>
      </c>
      <c r="C5" s="25">
        <f>COUNTIFS(dataset!$D:$D,"Service",dataset!$C:$C,4)</f>
        <v>3</v>
      </c>
      <c r="D5" s="25">
        <f>COUNTIFS(dataset!$D:$D,"Product",dataset!$C:$C,4)</f>
        <v>5</v>
      </c>
      <c r="E5" s="25">
        <f>COUNTIFS(dataset!$D:$D,"Website",dataset!$C:$C,4)</f>
        <v>3</v>
      </c>
      <c r="F5" s="25">
        <f>COUNTIFS(dataset!$D:$D,"Other",dataset!$C:$C,4)</f>
        <v>3</v>
      </c>
    </row>
    <row r="6" spans="1:6" x14ac:dyDescent="0.3">
      <c r="A6" s="25">
        <v>5</v>
      </c>
      <c r="B6" s="25">
        <f>COUNTIFS(dataset!D:D,"Billing",dataset!C:C,5)</f>
        <v>3</v>
      </c>
      <c r="C6" s="25">
        <f>COUNTIFS(dataset!$D:$D,"Service",dataset!$C:$C,5)</f>
        <v>5</v>
      </c>
      <c r="D6" s="25">
        <f>COUNTIFS(dataset!$D:$D,"Product",dataset!$C:$C,5)</f>
        <v>8</v>
      </c>
      <c r="E6" s="25">
        <f>COUNTIFS(dataset!$D:$D,"Website",dataset!$C:$C,5)</f>
        <v>3</v>
      </c>
      <c r="F6" s="25">
        <f>COUNTIFS(dataset!$D:$D,"Other",dataset!$C:$C,5)</f>
        <v>4</v>
      </c>
    </row>
  </sheetData>
  <conditionalFormatting sqref="A1:F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AEE57-E1F3-4EAC-8274-A76C01371D77}">
  <dimension ref="A1:I101"/>
  <sheetViews>
    <sheetView workbookViewId="0">
      <selection activeCell="H2" sqref="H2"/>
    </sheetView>
  </sheetViews>
  <sheetFormatPr defaultRowHeight="14.4" x14ac:dyDescent="0.3"/>
  <cols>
    <col min="1" max="1" width="13.21875" customWidth="1"/>
    <col min="2" max="2" width="14.88671875" customWidth="1"/>
    <col min="3" max="3" width="16" customWidth="1"/>
    <col min="4" max="4" width="18.88671875" customWidth="1"/>
    <col min="5" max="5" width="22" customWidth="1"/>
    <col min="6" max="6" width="15.109375" customWidth="1"/>
    <col min="7" max="7" width="10.5546875" customWidth="1"/>
    <col min="8" max="8" width="16.88671875" customWidth="1"/>
    <col min="9" max="9" width="25.33203125" customWidth="1"/>
    <col min="10" max="10" width="12.5546875" bestFit="1" customWidth="1"/>
  </cols>
  <sheetData>
    <row r="1" spans="1:9" x14ac:dyDescent="0.3">
      <c r="A1" t="s">
        <v>64</v>
      </c>
      <c r="B1" t="s">
        <v>65</v>
      </c>
      <c r="C1" t="s">
        <v>66</v>
      </c>
      <c r="D1" t="s">
        <v>67</v>
      </c>
      <c r="E1" t="s">
        <v>68</v>
      </c>
      <c r="F1" t="s">
        <v>69</v>
      </c>
      <c r="G1" t="s">
        <v>199</v>
      </c>
      <c r="H1" t="s">
        <v>180</v>
      </c>
      <c r="I1" t="s">
        <v>203</v>
      </c>
    </row>
    <row r="2" spans="1:9" x14ac:dyDescent="0.3">
      <c r="A2" t="s">
        <v>70</v>
      </c>
      <c r="B2" s="8">
        <v>45385</v>
      </c>
      <c r="C2">
        <v>5</v>
      </c>
      <c r="D2" t="s">
        <v>71</v>
      </c>
      <c r="E2">
        <v>24.8</v>
      </c>
      <c r="F2" t="s">
        <v>72</v>
      </c>
      <c r="G2" t="str">
        <f>TEXT(B2,"MMM-YY")</f>
        <v>Apr-24</v>
      </c>
      <c r="H2">
        <f>COUNTIF(dataset!F2:F101,"Yes")/COUNTA(dataset!F2:F101)*100</f>
        <v>80</v>
      </c>
      <c r="I2">
        <f>Calculation!C2</f>
        <v>5</v>
      </c>
    </row>
    <row r="3" spans="1:9" x14ac:dyDescent="0.3">
      <c r="A3" t="s">
        <v>73</v>
      </c>
      <c r="B3" s="8">
        <v>45342</v>
      </c>
      <c r="C3">
        <v>1</v>
      </c>
      <c r="D3" t="s">
        <v>74</v>
      </c>
      <c r="E3">
        <v>59.6</v>
      </c>
      <c r="F3" t="s">
        <v>72</v>
      </c>
      <c r="G3" t="str">
        <f t="shared" ref="G3:G66" si="0">TEXT(B3,"MMM-YY")</f>
        <v>Feb-24</v>
      </c>
    </row>
    <row r="4" spans="1:9" x14ac:dyDescent="0.3">
      <c r="A4" t="s">
        <v>75</v>
      </c>
      <c r="B4" s="8">
        <v>45353</v>
      </c>
      <c r="C4">
        <v>1</v>
      </c>
      <c r="D4" t="s">
        <v>76</v>
      </c>
      <c r="E4">
        <v>26.8</v>
      </c>
      <c r="F4" t="s">
        <v>77</v>
      </c>
      <c r="G4" t="str">
        <f t="shared" si="0"/>
        <v>Mar-24</v>
      </c>
    </row>
    <row r="5" spans="1:9" x14ac:dyDescent="0.3">
      <c r="A5" t="s">
        <v>78</v>
      </c>
      <c r="B5" s="8">
        <v>45348</v>
      </c>
      <c r="C5">
        <v>1</v>
      </c>
      <c r="D5" t="s">
        <v>79</v>
      </c>
      <c r="E5">
        <v>3.4</v>
      </c>
      <c r="F5" t="s">
        <v>77</v>
      </c>
      <c r="G5" t="str">
        <f t="shared" si="0"/>
        <v>Feb-24</v>
      </c>
    </row>
    <row r="6" spans="1:9" x14ac:dyDescent="0.3">
      <c r="A6" t="s">
        <v>80</v>
      </c>
      <c r="B6" s="8">
        <v>45357</v>
      </c>
      <c r="C6">
        <v>1</v>
      </c>
      <c r="D6" t="s">
        <v>76</v>
      </c>
      <c r="E6">
        <v>60</v>
      </c>
      <c r="F6" t="s">
        <v>77</v>
      </c>
      <c r="G6" t="str">
        <f t="shared" si="0"/>
        <v>Mar-24</v>
      </c>
    </row>
    <row r="7" spans="1:9" x14ac:dyDescent="0.3">
      <c r="A7" t="s">
        <v>81</v>
      </c>
      <c r="B7" s="8">
        <v>45370</v>
      </c>
      <c r="C7">
        <v>1</v>
      </c>
      <c r="D7" t="s">
        <v>76</v>
      </c>
      <c r="E7">
        <v>25.5</v>
      </c>
      <c r="F7" t="s">
        <v>77</v>
      </c>
      <c r="G7" t="str">
        <f t="shared" si="0"/>
        <v>Mar-24</v>
      </c>
    </row>
    <row r="8" spans="1:9" x14ac:dyDescent="0.3">
      <c r="A8" t="s">
        <v>82</v>
      </c>
      <c r="B8" s="8">
        <v>45366</v>
      </c>
      <c r="C8">
        <v>2</v>
      </c>
      <c r="D8" t="s">
        <v>79</v>
      </c>
      <c r="E8">
        <v>55.9</v>
      </c>
      <c r="F8" t="s">
        <v>77</v>
      </c>
      <c r="G8" t="str">
        <f t="shared" si="0"/>
        <v>Mar-24</v>
      </c>
    </row>
    <row r="9" spans="1:9" x14ac:dyDescent="0.3">
      <c r="A9" t="s">
        <v>83</v>
      </c>
      <c r="B9" s="8">
        <v>45299</v>
      </c>
      <c r="C9">
        <v>5</v>
      </c>
      <c r="D9" t="s">
        <v>76</v>
      </c>
      <c r="E9">
        <v>26.8</v>
      </c>
      <c r="F9" t="s">
        <v>77</v>
      </c>
      <c r="G9" t="str">
        <f t="shared" si="0"/>
        <v>Jan-24</v>
      </c>
    </row>
    <row r="10" spans="1:9" x14ac:dyDescent="0.3">
      <c r="A10" t="s">
        <v>84</v>
      </c>
      <c r="B10" s="8">
        <v>45317</v>
      </c>
      <c r="C10">
        <v>3</v>
      </c>
      <c r="D10" t="s">
        <v>79</v>
      </c>
      <c r="E10">
        <v>62.1</v>
      </c>
      <c r="F10" t="s">
        <v>72</v>
      </c>
      <c r="G10" t="str">
        <f t="shared" si="0"/>
        <v>Jan-24</v>
      </c>
    </row>
    <row r="11" spans="1:9" x14ac:dyDescent="0.3">
      <c r="A11" t="s">
        <v>85</v>
      </c>
      <c r="B11" s="8">
        <v>45342</v>
      </c>
      <c r="C11">
        <v>3</v>
      </c>
      <c r="D11" t="s">
        <v>74</v>
      </c>
      <c r="E11">
        <v>16.600000000000001</v>
      </c>
      <c r="F11" t="s">
        <v>77</v>
      </c>
      <c r="G11" t="str">
        <f t="shared" si="0"/>
        <v>Feb-24</v>
      </c>
    </row>
    <row r="12" spans="1:9" x14ac:dyDescent="0.3">
      <c r="A12" t="s">
        <v>86</v>
      </c>
      <c r="B12" s="8">
        <v>45336</v>
      </c>
      <c r="C12">
        <v>3</v>
      </c>
      <c r="D12" t="s">
        <v>79</v>
      </c>
      <c r="E12">
        <v>70.2</v>
      </c>
      <c r="F12" t="s">
        <v>77</v>
      </c>
      <c r="G12" t="str">
        <f t="shared" si="0"/>
        <v>Feb-24</v>
      </c>
    </row>
    <row r="13" spans="1:9" x14ac:dyDescent="0.3">
      <c r="A13" t="s">
        <v>87</v>
      </c>
      <c r="B13" s="8">
        <v>45335</v>
      </c>
      <c r="C13">
        <v>3</v>
      </c>
      <c r="D13" t="s">
        <v>79</v>
      </c>
      <c r="E13">
        <v>56.4</v>
      </c>
      <c r="F13" t="s">
        <v>77</v>
      </c>
      <c r="G13" t="str">
        <f t="shared" si="0"/>
        <v>Feb-24</v>
      </c>
    </row>
    <row r="14" spans="1:9" x14ac:dyDescent="0.3">
      <c r="A14" t="s">
        <v>88</v>
      </c>
      <c r="B14" s="8">
        <v>45296</v>
      </c>
      <c r="C14">
        <v>2</v>
      </c>
      <c r="D14" t="s">
        <v>71</v>
      </c>
      <c r="E14">
        <v>9.1</v>
      </c>
      <c r="F14" t="s">
        <v>77</v>
      </c>
      <c r="G14" t="str">
        <f t="shared" si="0"/>
        <v>Jan-24</v>
      </c>
    </row>
    <row r="15" spans="1:9" x14ac:dyDescent="0.3">
      <c r="A15" t="s">
        <v>89</v>
      </c>
      <c r="B15" s="8">
        <v>45361</v>
      </c>
      <c r="C15">
        <v>4</v>
      </c>
      <c r="D15" t="s">
        <v>79</v>
      </c>
      <c r="E15">
        <v>41.2</v>
      </c>
      <c r="F15" t="s">
        <v>77</v>
      </c>
      <c r="G15" t="str">
        <f t="shared" si="0"/>
        <v>Mar-24</v>
      </c>
    </row>
    <row r="16" spans="1:9" x14ac:dyDescent="0.3">
      <c r="A16" t="s">
        <v>90</v>
      </c>
      <c r="B16" s="8">
        <v>45317</v>
      </c>
      <c r="C16">
        <v>5</v>
      </c>
      <c r="D16" t="s">
        <v>79</v>
      </c>
      <c r="E16">
        <v>71</v>
      </c>
      <c r="F16" t="s">
        <v>77</v>
      </c>
      <c r="G16" t="str">
        <f t="shared" si="0"/>
        <v>Jan-24</v>
      </c>
    </row>
    <row r="17" spans="1:7" x14ac:dyDescent="0.3">
      <c r="A17" t="s">
        <v>91</v>
      </c>
      <c r="B17" s="8">
        <v>45359</v>
      </c>
      <c r="C17">
        <v>1</v>
      </c>
      <c r="D17" t="s">
        <v>74</v>
      </c>
      <c r="E17">
        <v>34.4</v>
      </c>
      <c r="F17" t="s">
        <v>77</v>
      </c>
      <c r="G17" t="str">
        <f t="shared" si="0"/>
        <v>Mar-24</v>
      </c>
    </row>
    <row r="18" spans="1:7" x14ac:dyDescent="0.3">
      <c r="A18" t="s">
        <v>92</v>
      </c>
      <c r="B18" s="8">
        <v>45310</v>
      </c>
      <c r="C18">
        <v>4</v>
      </c>
      <c r="D18" t="s">
        <v>71</v>
      </c>
      <c r="E18">
        <v>13.9</v>
      </c>
      <c r="F18" t="s">
        <v>77</v>
      </c>
      <c r="G18" t="str">
        <f t="shared" si="0"/>
        <v>Jan-24</v>
      </c>
    </row>
    <row r="19" spans="1:7" x14ac:dyDescent="0.3">
      <c r="A19" t="s">
        <v>93</v>
      </c>
      <c r="B19" s="8">
        <v>45375</v>
      </c>
      <c r="C19">
        <v>3</v>
      </c>
      <c r="D19" t="s">
        <v>94</v>
      </c>
      <c r="E19">
        <v>35.4</v>
      </c>
      <c r="F19" t="s">
        <v>77</v>
      </c>
      <c r="G19" t="str">
        <f t="shared" si="0"/>
        <v>Mar-24</v>
      </c>
    </row>
    <row r="20" spans="1:7" x14ac:dyDescent="0.3">
      <c r="A20" t="s">
        <v>95</v>
      </c>
      <c r="B20" s="8">
        <v>45388</v>
      </c>
      <c r="C20">
        <v>4</v>
      </c>
      <c r="D20" t="s">
        <v>74</v>
      </c>
      <c r="E20">
        <v>37.4</v>
      </c>
      <c r="F20" t="s">
        <v>77</v>
      </c>
      <c r="G20" t="str">
        <f t="shared" si="0"/>
        <v>Apr-24</v>
      </c>
    </row>
    <row r="21" spans="1:7" x14ac:dyDescent="0.3">
      <c r="A21" t="s">
        <v>96</v>
      </c>
      <c r="B21" s="8">
        <v>45311</v>
      </c>
      <c r="C21">
        <v>5</v>
      </c>
      <c r="D21" t="s">
        <v>74</v>
      </c>
      <c r="E21">
        <v>53.7</v>
      </c>
      <c r="F21" t="s">
        <v>77</v>
      </c>
      <c r="G21" t="str">
        <f t="shared" si="0"/>
        <v>Jan-24</v>
      </c>
    </row>
    <row r="22" spans="1:7" x14ac:dyDescent="0.3">
      <c r="A22" t="s">
        <v>97</v>
      </c>
      <c r="B22" s="8">
        <v>45303</v>
      </c>
      <c r="C22">
        <v>1</v>
      </c>
      <c r="D22" t="s">
        <v>94</v>
      </c>
      <c r="E22">
        <v>50.6</v>
      </c>
      <c r="F22" t="s">
        <v>77</v>
      </c>
      <c r="G22" t="str">
        <f t="shared" si="0"/>
        <v>Jan-24</v>
      </c>
    </row>
    <row r="23" spans="1:7" x14ac:dyDescent="0.3">
      <c r="A23" t="s">
        <v>98</v>
      </c>
      <c r="B23" s="8">
        <v>45338</v>
      </c>
      <c r="C23">
        <v>1</v>
      </c>
      <c r="D23" t="s">
        <v>79</v>
      </c>
      <c r="E23">
        <v>29.6</v>
      </c>
      <c r="F23" t="s">
        <v>77</v>
      </c>
      <c r="G23" t="str">
        <f t="shared" si="0"/>
        <v>Feb-24</v>
      </c>
    </row>
    <row r="24" spans="1:7" x14ac:dyDescent="0.3">
      <c r="A24" t="s">
        <v>99</v>
      </c>
      <c r="B24" s="8">
        <v>45292</v>
      </c>
      <c r="C24">
        <v>5</v>
      </c>
      <c r="D24" t="s">
        <v>76</v>
      </c>
      <c r="E24">
        <v>16.5</v>
      </c>
      <c r="F24" t="s">
        <v>77</v>
      </c>
      <c r="G24" t="str">
        <f t="shared" si="0"/>
        <v>Jan-24</v>
      </c>
    </row>
    <row r="25" spans="1:7" x14ac:dyDescent="0.3">
      <c r="A25" t="s">
        <v>100</v>
      </c>
      <c r="B25" s="8">
        <v>45381</v>
      </c>
      <c r="C25">
        <v>5</v>
      </c>
      <c r="D25" t="s">
        <v>71</v>
      </c>
      <c r="E25">
        <v>46.8</v>
      </c>
      <c r="F25" t="s">
        <v>77</v>
      </c>
      <c r="G25" t="str">
        <f t="shared" si="0"/>
        <v>Mar-24</v>
      </c>
    </row>
    <row r="26" spans="1:7" x14ac:dyDescent="0.3">
      <c r="A26" t="s">
        <v>101</v>
      </c>
      <c r="B26" s="8">
        <v>45305</v>
      </c>
      <c r="C26">
        <v>3</v>
      </c>
      <c r="D26" t="s">
        <v>76</v>
      </c>
      <c r="E26">
        <v>30.9</v>
      </c>
      <c r="F26" t="s">
        <v>77</v>
      </c>
      <c r="G26" t="str">
        <f t="shared" si="0"/>
        <v>Jan-24</v>
      </c>
    </row>
    <row r="27" spans="1:7" x14ac:dyDescent="0.3">
      <c r="A27" t="s">
        <v>102</v>
      </c>
      <c r="B27" s="8">
        <v>45355</v>
      </c>
      <c r="C27">
        <v>1</v>
      </c>
      <c r="D27" t="s">
        <v>94</v>
      </c>
      <c r="E27">
        <v>10.4</v>
      </c>
      <c r="F27" t="s">
        <v>77</v>
      </c>
      <c r="G27" t="str">
        <f t="shared" si="0"/>
        <v>Mar-24</v>
      </c>
    </row>
    <row r="28" spans="1:7" x14ac:dyDescent="0.3">
      <c r="A28" t="s">
        <v>103</v>
      </c>
      <c r="B28" s="8">
        <v>45329</v>
      </c>
      <c r="C28">
        <v>4</v>
      </c>
      <c r="D28" t="s">
        <v>74</v>
      </c>
      <c r="E28">
        <v>64.900000000000006</v>
      </c>
      <c r="F28" t="s">
        <v>77</v>
      </c>
      <c r="G28" t="str">
        <f t="shared" si="0"/>
        <v>Feb-24</v>
      </c>
    </row>
    <row r="29" spans="1:7" x14ac:dyDescent="0.3">
      <c r="A29" t="s">
        <v>104</v>
      </c>
      <c r="B29" s="8">
        <v>45328</v>
      </c>
      <c r="C29">
        <v>2</v>
      </c>
      <c r="D29" t="s">
        <v>74</v>
      </c>
      <c r="E29">
        <v>50.1</v>
      </c>
      <c r="F29" t="s">
        <v>72</v>
      </c>
      <c r="G29" t="str">
        <f t="shared" si="0"/>
        <v>Feb-24</v>
      </c>
    </row>
    <row r="30" spans="1:7" x14ac:dyDescent="0.3">
      <c r="A30" t="s">
        <v>105</v>
      </c>
      <c r="B30" s="8">
        <v>45302</v>
      </c>
      <c r="C30">
        <v>2</v>
      </c>
      <c r="D30" t="s">
        <v>71</v>
      </c>
      <c r="E30">
        <v>49.5</v>
      </c>
      <c r="F30" t="s">
        <v>77</v>
      </c>
      <c r="G30" t="str">
        <f t="shared" si="0"/>
        <v>Jan-24</v>
      </c>
    </row>
    <row r="31" spans="1:7" x14ac:dyDescent="0.3">
      <c r="A31" t="s">
        <v>106</v>
      </c>
      <c r="B31" s="8">
        <v>45391</v>
      </c>
      <c r="C31">
        <v>5</v>
      </c>
      <c r="D31" t="s">
        <v>74</v>
      </c>
      <c r="E31">
        <v>59.4</v>
      </c>
      <c r="F31" t="s">
        <v>77</v>
      </c>
      <c r="G31" t="str">
        <f t="shared" si="0"/>
        <v>Apr-24</v>
      </c>
    </row>
    <row r="32" spans="1:7" x14ac:dyDescent="0.3">
      <c r="A32" t="s">
        <v>107</v>
      </c>
      <c r="B32" s="8">
        <v>45368</v>
      </c>
      <c r="C32">
        <v>3</v>
      </c>
      <c r="D32" t="s">
        <v>74</v>
      </c>
      <c r="E32">
        <v>38.6</v>
      </c>
      <c r="F32" t="s">
        <v>77</v>
      </c>
      <c r="G32" t="str">
        <f t="shared" si="0"/>
        <v>Mar-24</v>
      </c>
    </row>
    <row r="33" spans="1:7" x14ac:dyDescent="0.3">
      <c r="A33" t="s">
        <v>108</v>
      </c>
      <c r="B33" s="8">
        <v>45294</v>
      </c>
      <c r="C33">
        <v>2</v>
      </c>
      <c r="D33" t="s">
        <v>71</v>
      </c>
      <c r="E33">
        <v>58.9</v>
      </c>
      <c r="F33" t="s">
        <v>77</v>
      </c>
      <c r="G33" t="str">
        <f t="shared" si="0"/>
        <v>Jan-24</v>
      </c>
    </row>
    <row r="34" spans="1:7" x14ac:dyDescent="0.3">
      <c r="A34" t="s">
        <v>109</v>
      </c>
      <c r="B34" s="8">
        <v>45324</v>
      </c>
      <c r="C34">
        <v>1</v>
      </c>
      <c r="D34" t="s">
        <v>71</v>
      </c>
      <c r="E34">
        <v>36.4</v>
      </c>
      <c r="F34" t="s">
        <v>72</v>
      </c>
      <c r="G34" t="str">
        <f t="shared" si="0"/>
        <v>Feb-24</v>
      </c>
    </row>
    <row r="35" spans="1:7" x14ac:dyDescent="0.3">
      <c r="A35" t="s">
        <v>110</v>
      </c>
      <c r="B35" s="8">
        <v>45297</v>
      </c>
      <c r="C35">
        <v>5</v>
      </c>
      <c r="D35" t="s">
        <v>94</v>
      </c>
      <c r="E35">
        <v>5.8</v>
      </c>
      <c r="F35" t="s">
        <v>77</v>
      </c>
      <c r="G35" t="str">
        <f t="shared" si="0"/>
        <v>Jan-24</v>
      </c>
    </row>
    <row r="36" spans="1:7" x14ac:dyDescent="0.3">
      <c r="A36" t="s">
        <v>111</v>
      </c>
      <c r="B36" s="8">
        <v>45341</v>
      </c>
      <c r="C36">
        <v>4</v>
      </c>
      <c r="D36" t="s">
        <v>74</v>
      </c>
      <c r="E36">
        <v>29.8</v>
      </c>
      <c r="F36" t="s">
        <v>77</v>
      </c>
      <c r="G36" t="str">
        <f t="shared" si="0"/>
        <v>Feb-24</v>
      </c>
    </row>
    <row r="37" spans="1:7" x14ac:dyDescent="0.3">
      <c r="A37" t="s">
        <v>112</v>
      </c>
      <c r="B37" s="8">
        <v>45301</v>
      </c>
      <c r="C37">
        <v>5</v>
      </c>
      <c r="D37" t="s">
        <v>74</v>
      </c>
      <c r="E37">
        <v>36.299999999999997</v>
      </c>
      <c r="F37" t="s">
        <v>77</v>
      </c>
      <c r="G37" t="str">
        <f t="shared" si="0"/>
        <v>Jan-24</v>
      </c>
    </row>
    <row r="38" spans="1:7" x14ac:dyDescent="0.3">
      <c r="A38" t="s">
        <v>113</v>
      </c>
      <c r="B38" s="8">
        <v>45296</v>
      </c>
      <c r="C38">
        <v>4</v>
      </c>
      <c r="D38" t="s">
        <v>94</v>
      </c>
      <c r="E38">
        <v>52.1</v>
      </c>
      <c r="F38" t="s">
        <v>77</v>
      </c>
      <c r="G38" t="str">
        <f t="shared" si="0"/>
        <v>Jan-24</v>
      </c>
    </row>
    <row r="39" spans="1:7" x14ac:dyDescent="0.3">
      <c r="A39" t="s">
        <v>114</v>
      </c>
      <c r="B39" s="8">
        <v>45314</v>
      </c>
      <c r="C39">
        <v>5</v>
      </c>
      <c r="D39" t="s">
        <v>79</v>
      </c>
      <c r="E39">
        <v>8.6</v>
      </c>
      <c r="F39" t="s">
        <v>77</v>
      </c>
      <c r="G39" t="str">
        <f t="shared" si="0"/>
        <v>Jan-24</v>
      </c>
    </row>
    <row r="40" spans="1:7" x14ac:dyDescent="0.3">
      <c r="A40" t="s">
        <v>115</v>
      </c>
      <c r="B40" s="8">
        <v>45301</v>
      </c>
      <c r="C40">
        <v>5</v>
      </c>
      <c r="D40" t="s">
        <v>79</v>
      </c>
      <c r="E40">
        <v>10.9</v>
      </c>
      <c r="F40" t="s">
        <v>72</v>
      </c>
      <c r="G40" t="str">
        <f t="shared" si="0"/>
        <v>Jan-24</v>
      </c>
    </row>
    <row r="41" spans="1:7" x14ac:dyDescent="0.3">
      <c r="A41" t="s">
        <v>116</v>
      </c>
      <c r="B41" s="8">
        <v>45335</v>
      </c>
      <c r="C41">
        <v>5</v>
      </c>
      <c r="D41" t="s">
        <v>79</v>
      </c>
      <c r="E41">
        <v>19.7</v>
      </c>
      <c r="F41" t="s">
        <v>77</v>
      </c>
      <c r="G41" t="str">
        <f t="shared" si="0"/>
        <v>Feb-24</v>
      </c>
    </row>
    <row r="42" spans="1:7" x14ac:dyDescent="0.3">
      <c r="A42" t="s">
        <v>117</v>
      </c>
      <c r="B42" s="8">
        <v>45293</v>
      </c>
      <c r="C42">
        <v>4</v>
      </c>
      <c r="D42" t="s">
        <v>94</v>
      </c>
      <c r="E42">
        <v>19.899999999999999</v>
      </c>
      <c r="F42" t="s">
        <v>77</v>
      </c>
      <c r="G42" t="str">
        <f t="shared" si="0"/>
        <v>Jan-24</v>
      </c>
    </row>
    <row r="43" spans="1:7" x14ac:dyDescent="0.3">
      <c r="A43" t="s">
        <v>118</v>
      </c>
      <c r="B43" s="8">
        <v>45304</v>
      </c>
      <c r="C43">
        <v>4</v>
      </c>
      <c r="D43" t="s">
        <v>74</v>
      </c>
      <c r="E43">
        <v>53</v>
      </c>
      <c r="F43" t="s">
        <v>72</v>
      </c>
      <c r="G43" t="str">
        <f t="shared" si="0"/>
        <v>Jan-24</v>
      </c>
    </row>
    <row r="44" spans="1:7" x14ac:dyDescent="0.3">
      <c r="A44" t="s">
        <v>119</v>
      </c>
      <c r="B44" s="8">
        <v>45331</v>
      </c>
      <c r="C44">
        <v>5</v>
      </c>
      <c r="D44" t="s">
        <v>94</v>
      </c>
      <c r="E44">
        <v>18.8</v>
      </c>
      <c r="F44" t="s">
        <v>77</v>
      </c>
      <c r="G44" t="str">
        <f t="shared" si="0"/>
        <v>Feb-24</v>
      </c>
    </row>
    <row r="45" spans="1:7" x14ac:dyDescent="0.3">
      <c r="A45" t="s">
        <v>120</v>
      </c>
      <c r="B45" s="8">
        <v>45293</v>
      </c>
      <c r="C45">
        <v>2</v>
      </c>
      <c r="D45" t="s">
        <v>94</v>
      </c>
      <c r="E45">
        <v>45.9</v>
      </c>
      <c r="F45" t="s">
        <v>77</v>
      </c>
      <c r="G45" t="str">
        <f t="shared" si="0"/>
        <v>Jan-24</v>
      </c>
    </row>
    <row r="46" spans="1:7" x14ac:dyDescent="0.3">
      <c r="A46" t="s">
        <v>121</v>
      </c>
      <c r="B46" s="8">
        <v>45375</v>
      </c>
      <c r="C46">
        <v>3</v>
      </c>
      <c r="D46" t="s">
        <v>79</v>
      </c>
      <c r="E46">
        <v>36.1</v>
      </c>
      <c r="F46" t="s">
        <v>77</v>
      </c>
      <c r="G46" t="str">
        <f t="shared" si="0"/>
        <v>Mar-24</v>
      </c>
    </row>
    <row r="47" spans="1:7" x14ac:dyDescent="0.3">
      <c r="A47" t="s">
        <v>122</v>
      </c>
      <c r="B47" s="8">
        <v>45356</v>
      </c>
      <c r="C47">
        <v>3</v>
      </c>
      <c r="D47" t="s">
        <v>76</v>
      </c>
      <c r="E47">
        <v>41.7</v>
      </c>
      <c r="F47" t="s">
        <v>72</v>
      </c>
      <c r="G47" t="str">
        <f t="shared" si="0"/>
        <v>Mar-24</v>
      </c>
    </row>
    <row r="48" spans="1:7" x14ac:dyDescent="0.3">
      <c r="A48" t="s">
        <v>123</v>
      </c>
      <c r="B48" s="8">
        <v>45354</v>
      </c>
      <c r="C48">
        <v>3</v>
      </c>
      <c r="D48" t="s">
        <v>74</v>
      </c>
      <c r="E48">
        <v>60.5</v>
      </c>
      <c r="F48" t="s">
        <v>77</v>
      </c>
      <c r="G48" t="str">
        <f t="shared" si="0"/>
        <v>Mar-24</v>
      </c>
    </row>
    <row r="49" spans="1:7" x14ac:dyDescent="0.3">
      <c r="A49" t="s">
        <v>124</v>
      </c>
      <c r="B49" s="8">
        <v>45364</v>
      </c>
      <c r="C49">
        <v>4</v>
      </c>
      <c r="D49" t="s">
        <v>79</v>
      </c>
      <c r="E49">
        <v>29.7</v>
      </c>
      <c r="F49" t="s">
        <v>77</v>
      </c>
      <c r="G49" t="str">
        <f t="shared" si="0"/>
        <v>Mar-24</v>
      </c>
    </row>
    <row r="50" spans="1:7" x14ac:dyDescent="0.3">
      <c r="A50" t="s">
        <v>125</v>
      </c>
      <c r="B50" s="8">
        <v>45308</v>
      </c>
      <c r="C50">
        <v>4</v>
      </c>
      <c r="D50" t="s">
        <v>76</v>
      </c>
      <c r="E50">
        <v>55.7</v>
      </c>
      <c r="F50" t="s">
        <v>77</v>
      </c>
      <c r="G50" t="str">
        <f t="shared" si="0"/>
        <v>Jan-24</v>
      </c>
    </row>
    <row r="51" spans="1:7" x14ac:dyDescent="0.3">
      <c r="A51" t="s">
        <v>126</v>
      </c>
      <c r="B51" s="8">
        <v>45300</v>
      </c>
      <c r="C51">
        <v>2</v>
      </c>
      <c r="D51" t="s">
        <v>76</v>
      </c>
      <c r="E51">
        <v>31</v>
      </c>
      <c r="F51" t="s">
        <v>77</v>
      </c>
      <c r="G51" t="str">
        <f t="shared" si="0"/>
        <v>Jan-24</v>
      </c>
    </row>
    <row r="52" spans="1:7" x14ac:dyDescent="0.3">
      <c r="A52" t="s">
        <v>127</v>
      </c>
      <c r="B52" s="8">
        <v>45366</v>
      </c>
      <c r="C52">
        <v>3</v>
      </c>
      <c r="D52" t="s">
        <v>71</v>
      </c>
      <c r="E52">
        <v>26.1</v>
      </c>
      <c r="F52" t="s">
        <v>77</v>
      </c>
      <c r="G52" t="str">
        <f t="shared" si="0"/>
        <v>Mar-24</v>
      </c>
    </row>
    <row r="53" spans="1:7" x14ac:dyDescent="0.3">
      <c r="A53" t="s">
        <v>128</v>
      </c>
      <c r="B53" s="8">
        <v>45306</v>
      </c>
      <c r="C53">
        <v>3</v>
      </c>
      <c r="D53" t="s">
        <v>74</v>
      </c>
      <c r="E53">
        <v>69.099999999999994</v>
      </c>
      <c r="F53" t="s">
        <v>77</v>
      </c>
      <c r="G53" t="str">
        <f t="shared" si="0"/>
        <v>Jan-24</v>
      </c>
    </row>
    <row r="54" spans="1:7" x14ac:dyDescent="0.3">
      <c r="A54" t="s">
        <v>129</v>
      </c>
      <c r="B54" s="8">
        <v>45315</v>
      </c>
      <c r="C54">
        <v>5</v>
      </c>
      <c r="D54" t="s">
        <v>76</v>
      </c>
      <c r="E54">
        <v>14.1</v>
      </c>
      <c r="F54" t="s">
        <v>77</v>
      </c>
      <c r="G54" t="str">
        <f t="shared" si="0"/>
        <v>Jan-24</v>
      </c>
    </row>
    <row r="55" spans="1:7" x14ac:dyDescent="0.3">
      <c r="A55" t="s">
        <v>130</v>
      </c>
      <c r="B55" s="8">
        <v>45329</v>
      </c>
      <c r="C55">
        <v>4</v>
      </c>
      <c r="D55" t="s">
        <v>79</v>
      </c>
      <c r="E55">
        <v>7.4</v>
      </c>
      <c r="F55" t="s">
        <v>77</v>
      </c>
      <c r="G55" t="str">
        <f t="shared" si="0"/>
        <v>Feb-24</v>
      </c>
    </row>
    <row r="56" spans="1:7" x14ac:dyDescent="0.3">
      <c r="A56" t="s">
        <v>131</v>
      </c>
      <c r="B56" s="8">
        <v>45326</v>
      </c>
      <c r="C56">
        <v>3</v>
      </c>
      <c r="D56" t="s">
        <v>71</v>
      </c>
      <c r="E56">
        <v>55.7</v>
      </c>
      <c r="F56" t="s">
        <v>77</v>
      </c>
      <c r="G56" t="str">
        <f t="shared" si="0"/>
        <v>Feb-24</v>
      </c>
    </row>
    <row r="57" spans="1:7" x14ac:dyDescent="0.3">
      <c r="A57" t="s">
        <v>132</v>
      </c>
      <c r="B57" s="8">
        <v>45385</v>
      </c>
      <c r="C57">
        <v>2</v>
      </c>
      <c r="D57" t="s">
        <v>74</v>
      </c>
      <c r="E57">
        <v>5.8</v>
      </c>
      <c r="F57" t="s">
        <v>77</v>
      </c>
      <c r="G57" t="str">
        <f t="shared" si="0"/>
        <v>Apr-24</v>
      </c>
    </row>
    <row r="58" spans="1:7" x14ac:dyDescent="0.3">
      <c r="A58" t="s">
        <v>133</v>
      </c>
      <c r="B58" s="8">
        <v>45386</v>
      </c>
      <c r="C58">
        <v>2</v>
      </c>
      <c r="D58" t="s">
        <v>94</v>
      </c>
      <c r="E58">
        <v>60.4</v>
      </c>
      <c r="F58" t="s">
        <v>77</v>
      </c>
      <c r="G58" t="str">
        <f t="shared" si="0"/>
        <v>Apr-24</v>
      </c>
    </row>
    <row r="59" spans="1:7" x14ac:dyDescent="0.3">
      <c r="A59" t="s">
        <v>134</v>
      </c>
      <c r="B59" s="8">
        <v>45340</v>
      </c>
      <c r="C59">
        <v>3</v>
      </c>
      <c r="D59" t="s">
        <v>79</v>
      </c>
      <c r="E59">
        <v>32</v>
      </c>
      <c r="F59" t="s">
        <v>77</v>
      </c>
      <c r="G59" t="str">
        <f t="shared" si="0"/>
        <v>Feb-24</v>
      </c>
    </row>
    <row r="60" spans="1:7" x14ac:dyDescent="0.3">
      <c r="A60" t="s">
        <v>135</v>
      </c>
      <c r="B60" s="8">
        <v>45360</v>
      </c>
      <c r="C60">
        <v>4</v>
      </c>
      <c r="D60" t="s">
        <v>76</v>
      </c>
      <c r="E60">
        <v>66</v>
      </c>
      <c r="F60" t="s">
        <v>77</v>
      </c>
      <c r="G60" t="str">
        <f t="shared" si="0"/>
        <v>Mar-24</v>
      </c>
    </row>
    <row r="61" spans="1:7" x14ac:dyDescent="0.3">
      <c r="A61" t="s">
        <v>136</v>
      </c>
      <c r="B61" s="8">
        <v>45353</v>
      </c>
      <c r="C61">
        <v>2</v>
      </c>
      <c r="D61" t="s">
        <v>76</v>
      </c>
      <c r="E61">
        <v>52.2</v>
      </c>
      <c r="F61" t="s">
        <v>77</v>
      </c>
      <c r="G61" t="str">
        <f t="shared" si="0"/>
        <v>Mar-24</v>
      </c>
    </row>
    <row r="62" spans="1:7" x14ac:dyDescent="0.3">
      <c r="A62" t="s">
        <v>137</v>
      </c>
      <c r="B62" s="8">
        <v>45351</v>
      </c>
      <c r="C62">
        <v>5</v>
      </c>
      <c r="D62" t="s">
        <v>79</v>
      </c>
      <c r="E62">
        <v>44.3</v>
      </c>
      <c r="F62" t="s">
        <v>77</v>
      </c>
      <c r="G62" t="str">
        <f t="shared" si="0"/>
        <v>Feb-24</v>
      </c>
    </row>
    <row r="63" spans="1:7" x14ac:dyDescent="0.3">
      <c r="A63" t="s">
        <v>138</v>
      </c>
      <c r="B63" s="8">
        <v>45341</v>
      </c>
      <c r="C63">
        <v>2</v>
      </c>
      <c r="D63" t="s">
        <v>76</v>
      </c>
      <c r="E63">
        <v>68.400000000000006</v>
      </c>
      <c r="F63" t="s">
        <v>77</v>
      </c>
      <c r="G63" t="str">
        <f t="shared" si="0"/>
        <v>Feb-24</v>
      </c>
    </row>
    <row r="64" spans="1:7" x14ac:dyDescent="0.3">
      <c r="A64" t="s">
        <v>139</v>
      </c>
      <c r="B64" s="8">
        <v>45369</v>
      </c>
      <c r="C64">
        <v>1</v>
      </c>
      <c r="D64" t="s">
        <v>71</v>
      </c>
      <c r="E64">
        <v>29.2</v>
      </c>
      <c r="F64" t="s">
        <v>72</v>
      </c>
      <c r="G64" t="str">
        <f t="shared" si="0"/>
        <v>Mar-24</v>
      </c>
    </row>
    <row r="65" spans="1:7" x14ac:dyDescent="0.3">
      <c r="A65" t="s">
        <v>140</v>
      </c>
      <c r="B65" s="8">
        <v>45366</v>
      </c>
      <c r="C65">
        <v>1</v>
      </c>
      <c r="D65" t="s">
        <v>74</v>
      </c>
      <c r="E65">
        <v>68.7</v>
      </c>
      <c r="F65" t="s">
        <v>77</v>
      </c>
      <c r="G65" t="str">
        <f t="shared" si="0"/>
        <v>Mar-24</v>
      </c>
    </row>
    <row r="66" spans="1:7" x14ac:dyDescent="0.3">
      <c r="A66" t="s">
        <v>141</v>
      </c>
      <c r="B66" s="8">
        <v>45300</v>
      </c>
      <c r="C66">
        <v>4</v>
      </c>
      <c r="D66" t="s">
        <v>71</v>
      </c>
      <c r="E66">
        <v>10.6</v>
      </c>
      <c r="F66" t="s">
        <v>77</v>
      </c>
      <c r="G66" t="str">
        <f t="shared" si="0"/>
        <v>Jan-24</v>
      </c>
    </row>
    <row r="67" spans="1:7" x14ac:dyDescent="0.3">
      <c r="A67" t="s">
        <v>142</v>
      </c>
      <c r="B67" s="8">
        <v>45325</v>
      </c>
      <c r="C67">
        <v>3</v>
      </c>
      <c r="D67" t="s">
        <v>76</v>
      </c>
      <c r="E67">
        <v>35.299999999999997</v>
      </c>
      <c r="F67" t="s">
        <v>77</v>
      </c>
      <c r="G67" t="str">
        <f t="shared" ref="G67:G101" si="1">TEXT(B67,"MMM-YY")</f>
        <v>Feb-24</v>
      </c>
    </row>
    <row r="68" spans="1:7" x14ac:dyDescent="0.3">
      <c r="A68" t="s">
        <v>143</v>
      </c>
      <c r="B68" s="8">
        <v>45367</v>
      </c>
      <c r="C68">
        <v>4</v>
      </c>
      <c r="D68" t="s">
        <v>94</v>
      </c>
      <c r="E68">
        <v>20.2</v>
      </c>
      <c r="F68" t="s">
        <v>72</v>
      </c>
      <c r="G68" t="str">
        <f t="shared" si="1"/>
        <v>Mar-24</v>
      </c>
    </row>
    <row r="69" spans="1:7" x14ac:dyDescent="0.3">
      <c r="A69" t="s">
        <v>144</v>
      </c>
      <c r="B69" s="8">
        <v>45390</v>
      </c>
      <c r="C69">
        <v>4</v>
      </c>
      <c r="D69" t="s">
        <v>74</v>
      </c>
      <c r="E69">
        <v>39.299999999999997</v>
      </c>
      <c r="F69" t="s">
        <v>77</v>
      </c>
      <c r="G69" t="str">
        <f t="shared" si="1"/>
        <v>Apr-24</v>
      </c>
    </row>
    <row r="70" spans="1:7" x14ac:dyDescent="0.3">
      <c r="A70" t="s">
        <v>145</v>
      </c>
      <c r="B70" s="8">
        <v>45326</v>
      </c>
      <c r="C70">
        <v>4</v>
      </c>
      <c r="D70" t="s">
        <v>74</v>
      </c>
      <c r="E70">
        <v>12.5</v>
      </c>
      <c r="F70" t="s">
        <v>77</v>
      </c>
      <c r="G70" t="str">
        <f t="shared" si="1"/>
        <v>Feb-24</v>
      </c>
    </row>
    <row r="71" spans="1:7" x14ac:dyDescent="0.3">
      <c r="A71" t="s">
        <v>146</v>
      </c>
      <c r="B71" s="8">
        <v>45292</v>
      </c>
      <c r="C71">
        <v>4</v>
      </c>
      <c r="D71" t="s">
        <v>79</v>
      </c>
      <c r="E71">
        <v>60.7</v>
      </c>
      <c r="F71" t="s">
        <v>77</v>
      </c>
      <c r="G71" t="str">
        <f t="shared" si="1"/>
        <v>Jan-24</v>
      </c>
    </row>
    <row r="72" spans="1:7" x14ac:dyDescent="0.3">
      <c r="A72" t="s">
        <v>147</v>
      </c>
      <c r="B72" s="8">
        <v>45331</v>
      </c>
      <c r="C72">
        <v>5</v>
      </c>
      <c r="D72" t="s">
        <v>79</v>
      </c>
      <c r="E72">
        <v>61.1</v>
      </c>
      <c r="F72" t="s">
        <v>77</v>
      </c>
      <c r="G72" t="str">
        <f t="shared" si="1"/>
        <v>Feb-24</v>
      </c>
    </row>
    <row r="73" spans="1:7" x14ac:dyDescent="0.3">
      <c r="A73" t="s">
        <v>148</v>
      </c>
      <c r="B73" s="8">
        <v>45355</v>
      </c>
      <c r="C73">
        <v>5</v>
      </c>
      <c r="D73" t="s">
        <v>94</v>
      </c>
      <c r="E73">
        <v>68.8</v>
      </c>
      <c r="F73" t="s">
        <v>72</v>
      </c>
      <c r="G73" t="str">
        <f t="shared" si="1"/>
        <v>Mar-24</v>
      </c>
    </row>
    <row r="74" spans="1:7" x14ac:dyDescent="0.3">
      <c r="A74" t="s">
        <v>149</v>
      </c>
      <c r="B74" s="8">
        <v>45313</v>
      </c>
      <c r="C74">
        <v>2</v>
      </c>
      <c r="D74" t="s">
        <v>74</v>
      </c>
      <c r="E74">
        <v>12</v>
      </c>
      <c r="F74" t="s">
        <v>77</v>
      </c>
      <c r="G74" t="str">
        <f t="shared" si="1"/>
        <v>Jan-24</v>
      </c>
    </row>
    <row r="75" spans="1:7" x14ac:dyDescent="0.3">
      <c r="A75" t="s">
        <v>150</v>
      </c>
      <c r="B75" s="8">
        <v>45351</v>
      </c>
      <c r="C75">
        <v>1</v>
      </c>
      <c r="D75" t="s">
        <v>94</v>
      </c>
      <c r="E75">
        <v>45.3</v>
      </c>
      <c r="F75" t="s">
        <v>77</v>
      </c>
      <c r="G75" t="str">
        <f t="shared" si="1"/>
        <v>Feb-24</v>
      </c>
    </row>
    <row r="76" spans="1:7" x14ac:dyDescent="0.3">
      <c r="A76" t="s">
        <v>151</v>
      </c>
      <c r="B76" s="8">
        <v>45355</v>
      </c>
      <c r="C76">
        <v>4</v>
      </c>
      <c r="D76" t="s">
        <v>79</v>
      </c>
      <c r="E76">
        <v>34.700000000000003</v>
      </c>
      <c r="F76" t="s">
        <v>77</v>
      </c>
      <c r="G76" t="str">
        <f t="shared" si="1"/>
        <v>Mar-24</v>
      </c>
    </row>
    <row r="77" spans="1:7" x14ac:dyDescent="0.3">
      <c r="A77" t="s">
        <v>152</v>
      </c>
      <c r="B77" s="8">
        <v>45384</v>
      </c>
      <c r="C77">
        <v>2</v>
      </c>
      <c r="D77" t="s">
        <v>79</v>
      </c>
      <c r="E77">
        <v>25.5</v>
      </c>
      <c r="F77" t="s">
        <v>72</v>
      </c>
      <c r="G77" t="str">
        <f t="shared" si="1"/>
        <v>Apr-24</v>
      </c>
    </row>
    <row r="78" spans="1:7" x14ac:dyDescent="0.3">
      <c r="A78" t="s">
        <v>153</v>
      </c>
      <c r="B78" s="8">
        <v>45363</v>
      </c>
      <c r="C78">
        <v>1</v>
      </c>
      <c r="D78" t="s">
        <v>74</v>
      </c>
      <c r="E78">
        <v>26</v>
      </c>
      <c r="F78" t="s">
        <v>72</v>
      </c>
      <c r="G78" t="str">
        <f t="shared" si="1"/>
        <v>Mar-24</v>
      </c>
    </row>
    <row r="79" spans="1:7" x14ac:dyDescent="0.3">
      <c r="A79" t="s">
        <v>154</v>
      </c>
      <c r="B79" s="8">
        <v>45302</v>
      </c>
      <c r="C79">
        <v>3</v>
      </c>
      <c r="D79" t="s">
        <v>71</v>
      </c>
      <c r="E79">
        <v>30.3</v>
      </c>
      <c r="F79" t="s">
        <v>77</v>
      </c>
      <c r="G79" t="str">
        <f t="shared" si="1"/>
        <v>Jan-24</v>
      </c>
    </row>
    <row r="80" spans="1:7" x14ac:dyDescent="0.3">
      <c r="A80" t="s">
        <v>155</v>
      </c>
      <c r="B80" s="8">
        <v>45305</v>
      </c>
      <c r="C80">
        <v>5</v>
      </c>
      <c r="D80" t="s">
        <v>76</v>
      </c>
      <c r="E80">
        <v>51</v>
      </c>
      <c r="F80" t="s">
        <v>72</v>
      </c>
      <c r="G80" t="str">
        <f t="shared" si="1"/>
        <v>Jan-24</v>
      </c>
    </row>
    <row r="81" spans="1:7" x14ac:dyDescent="0.3">
      <c r="A81" t="s">
        <v>156</v>
      </c>
      <c r="B81" s="8">
        <v>45351</v>
      </c>
      <c r="C81">
        <v>1</v>
      </c>
      <c r="D81" t="s">
        <v>79</v>
      </c>
      <c r="E81">
        <v>43.5</v>
      </c>
      <c r="F81" t="s">
        <v>72</v>
      </c>
      <c r="G81" t="str">
        <f t="shared" si="1"/>
        <v>Feb-24</v>
      </c>
    </row>
    <row r="82" spans="1:7" x14ac:dyDescent="0.3">
      <c r="A82" t="s">
        <v>157</v>
      </c>
      <c r="B82" s="8">
        <v>45321</v>
      </c>
      <c r="C82">
        <v>3</v>
      </c>
      <c r="D82" t="s">
        <v>79</v>
      </c>
      <c r="E82">
        <v>33.6</v>
      </c>
      <c r="F82" t="s">
        <v>77</v>
      </c>
      <c r="G82" t="str">
        <f t="shared" si="1"/>
        <v>Jan-24</v>
      </c>
    </row>
    <row r="83" spans="1:7" x14ac:dyDescent="0.3">
      <c r="A83" t="s">
        <v>158</v>
      </c>
      <c r="B83" s="8">
        <v>45326</v>
      </c>
      <c r="C83">
        <v>1</v>
      </c>
      <c r="D83" t="s">
        <v>71</v>
      </c>
      <c r="E83">
        <v>6.4</v>
      </c>
      <c r="F83" t="s">
        <v>77</v>
      </c>
      <c r="G83" t="str">
        <f t="shared" si="1"/>
        <v>Feb-24</v>
      </c>
    </row>
    <row r="84" spans="1:7" x14ac:dyDescent="0.3">
      <c r="A84" t="s">
        <v>159</v>
      </c>
      <c r="B84" s="8">
        <v>45376</v>
      </c>
      <c r="C84">
        <v>5</v>
      </c>
      <c r="D84" t="s">
        <v>71</v>
      </c>
      <c r="E84">
        <v>6.5</v>
      </c>
      <c r="F84" t="s">
        <v>77</v>
      </c>
      <c r="G84" t="str">
        <f t="shared" si="1"/>
        <v>Mar-24</v>
      </c>
    </row>
    <row r="85" spans="1:7" x14ac:dyDescent="0.3">
      <c r="A85" t="s">
        <v>160</v>
      </c>
      <c r="B85" s="8">
        <v>45328</v>
      </c>
      <c r="C85">
        <v>5</v>
      </c>
      <c r="D85" t="s">
        <v>94</v>
      </c>
      <c r="E85">
        <v>1.2</v>
      </c>
      <c r="F85" t="s">
        <v>72</v>
      </c>
      <c r="G85" t="str">
        <f t="shared" si="1"/>
        <v>Feb-24</v>
      </c>
    </row>
    <row r="86" spans="1:7" x14ac:dyDescent="0.3">
      <c r="A86" t="s">
        <v>161</v>
      </c>
      <c r="B86" s="8">
        <v>45296</v>
      </c>
      <c r="C86">
        <v>2</v>
      </c>
      <c r="D86" t="s">
        <v>94</v>
      </c>
      <c r="E86">
        <v>69.7</v>
      </c>
      <c r="F86" t="s">
        <v>77</v>
      </c>
      <c r="G86" t="str">
        <f t="shared" si="1"/>
        <v>Jan-24</v>
      </c>
    </row>
    <row r="87" spans="1:7" x14ac:dyDescent="0.3">
      <c r="A87" t="s">
        <v>162</v>
      </c>
      <c r="B87" s="8">
        <v>45374</v>
      </c>
      <c r="C87">
        <v>4</v>
      </c>
      <c r="D87" t="s">
        <v>76</v>
      </c>
      <c r="E87">
        <v>1.4</v>
      </c>
      <c r="F87" t="s">
        <v>72</v>
      </c>
      <c r="G87" t="str">
        <f t="shared" si="1"/>
        <v>Mar-24</v>
      </c>
    </row>
    <row r="88" spans="1:7" x14ac:dyDescent="0.3">
      <c r="A88" t="s">
        <v>163</v>
      </c>
      <c r="B88" s="8">
        <v>45369</v>
      </c>
      <c r="C88">
        <v>1</v>
      </c>
      <c r="D88" t="s">
        <v>76</v>
      </c>
      <c r="E88">
        <v>8.3000000000000007</v>
      </c>
      <c r="F88" t="s">
        <v>77</v>
      </c>
      <c r="G88" t="str">
        <f t="shared" si="1"/>
        <v>Mar-24</v>
      </c>
    </row>
    <row r="89" spans="1:7" x14ac:dyDescent="0.3">
      <c r="A89" t="s">
        <v>164</v>
      </c>
      <c r="B89" s="8">
        <v>45317</v>
      </c>
      <c r="C89">
        <v>1</v>
      </c>
      <c r="D89" t="s">
        <v>74</v>
      </c>
      <c r="E89">
        <v>23.3</v>
      </c>
      <c r="F89" t="s">
        <v>77</v>
      </c>
      <c r="G89" t="str">
        <f t="shared" si="1"/>
        <v>Jan-24</v>
      </c>
    </row>
    <row r="90" spans="1:7" x14ac:dyDescent="0.3">
      <c r="A90" t="s">
        <v>165</v>
      </c>
      <c r="B90" s="8">
        <v>45353</v>
      </c>
      <c r="C90">
        <v>3</v>
      </c>
      <c r="D90" t="s">
        <v>94</v>
      </c>
      <c r="E90">
        <v>58.3</v>
      </c>
      <c r="F90" t="s">
        <v>77</v>
      </c>
      <c r="G90" t="str">
        <f t="shared" si="1"/>
        <v>Mar-24</v>
      </c>
    </row>
    <row r="91" spans="1:7" x14ac:dyDescent="0.3">
      <c r="A91" t="s">
        <v>166</v>
      </c>
      <c r="B91" s="8">
        <v>45295</v>
      </c>
      <c r="C91">
        <v>5</v>
      </c>
      <c r="D91" t="s">
        <v>79</v>
      </c>
      <c r="E91">
        <v>69.3</v>
      </c>
      <c r="F91" t="s">
        <v>77</v>
      </c>
      <c r="G91" t="str">
        <f t="shared" si="1"/>
        <v>Jan-24</v>
      </c>
    </row>
    <row r="92" spans="1:7" x14ac:dyDescent="0.3">
      <c r="A92" t="s">
        <v>167</v>
      </c>
      <c r="B92" s="8">
        <v>45380</v>
      </c>
      <c r="C92">
        <v>1</v>
      </c>
      <c r="D92" t="s">
        <v>94</v>
      </c>
      <c r="E92">
        <v>57.1</v>
      </c>
      <c r="F92" t="s">
        <v>72</v>
      </c>
      <c r="G92" t="str">
        <f t="shared" si="1"/>
        <v>Mar-24</v>
      </c>
    </row>
    <row r="93" spans="1:7" x14ac:dyDescent="0.3">
      <c r="A93" t="s">
        <v>168</v>
      </c>
      <c r="B93" s="8">
        <v>45333</v>
      </c>
      <c r="C93">
        <v>5</v>
      </c>
      <c r="D93" t="s">
        <v>79</v>
      </c>
      <c r="E93">
        <v>50</v>
      </c>
      <c r="F93" t="s">
        <v>72</v>
      </c>
      <c r="G93" t="str">
        <f t="shared" si="1"/>
        <v>Feb-24</v>
      </c>
    </row>
    <row r="94" spans="1:7" x14ac:dyDescent="0.3">
      <c r="A94" t="s">
        <v>169</v>
      </c>
      <c r="B94" s="8">
        <v>45380</v>
      </c>
      <c r="C94">
        <v>1</v>
      </c>
      <c r="D94" t="s">
        <v>71</v>
      </c>
      <c r="E94">
        <v>38</v>
      </c>
      <c r="F94" t="s">
        <v>72</v>
      </c>
      <c r="G94" t="str">
        <f t="shared" si="1"/>
        <v>Mar-24</v>
      </c>
    </row>
    <row r="95" spans="1:7" x14ac:dyDescent="0.3">
      <c r="A95" t="s">
        <v>170</v>
      </c>
      <c r="B95" s="8">
        <v>45309</v>
      </c>
      <c r="C95">
        <v>2</v>
      </c>
      <c r="D95" t="s">
        <v>94</v>
      </c>
      <c r="E95">
        <v>7.2</v>
      </c>
      <c r="F95" t="s">
        <v>77</v>
      </c>
      <c r="G95" t="str">
        <f t="shared" si="1"/>
        <v>Jan-24</v>
      </c>
    </row>
    <row r="96" spans="1:7" x14ac:dyDescent="0.3">
      <c r="A96" t="s">
        <v>171</v>
      </c>
      <c r="B96" s="8">
        <v>45331</v>
      </c>
      <c r="C96">
        <v>4</v>
      </c>
      <c r="D96" t="s">
        <v>71</v>
      </c>
      <c r="E96">
        <v>69</v>
      </c>
      <c r="F96" t="s">
        <v>77</v>
      </c>
      <c r="G96" t="str">
        <f t="shared" si="1"/>
        <v>Feb-24</v>
      </c>
    </row>
    <row r="97" spans="1:7" x14ac:dyDescent="0.3">
      <c r="A97" t="s">
        <v>172</v>
      </c>
      <c r="B97" s="8">
        <v>45363</v>
      </c>
      <c r="C97">
        <v>1</v>
      </c>
      <c r="D97" t="s">
        <v>76</v>
      </c>
      <c r="E97">
        <v>54.8</v>
      </c>
      <c r="F97" t="s">
        <v>77</v>
      </c>
      <c r="G97" t="str">
        <f t="shared" si="1"/>
        <v>Mar-24</v>
      </c>
    </row>
    <row r="98" spans="1:7" x14ac:dyDescent="0.3">
      <c r="A98" t="s">
        <v>173</v>
      </c>
      <c r="B98" s="8">
        <v>45330</v>
      </c>
      <c r="C98">
        <v>5</v>
      </c>
      <c r="D98" t="s">
        <v>76</v>
      </c>
      <c r="E98">
        <v>46.4</v>
      </c>
      <c r="F98" t="s">
        <v>77</v>
      </c>
      <c r="G98" t="str">
        <f t="shared" si="1"/>
        <v>Feb-24</v>
      </c>
    </row>
    <row r="99" spans="1:7" x14ac:dyDescent="0.3">
      <c r="A99" t="s">
        <v>174</v>
      </c>
      <c r="B99" s="8">
        <v>45305</v>
      </c>
      <c r="C99">
        <v>2</v>
      </c>
      <c r="D99" t="s">
        <v>74</v>
      </c>
      <c r="E99">
        <v>54.9</v>
      </c>
      <c r="F99" t="s">
        <v>77</v>
      </c>
      <c r="G99" t="str">
        <f t="shared" si="1"/>
        <v>Jan-24</v>
      </c>
    </row>
    <row r="100" spans="1:7" x14ac:dyDescent="0.3">
      <c r="A100" t="s">
        <v>175</v>
      </c>
      <c r="B100" s="8">
        <v>45323</v>
      </c>
      <c r="C100">
        <v>1</v>
      </c>
      <c r="D100" t="s">
        <v>94</v>
      </c>
      <c r="E100">
        <v>52.4</v>
      </c>
      <c r="F100" t="s">
        <v>77</v>
      </c>
      <c r="G100" t="str">
        <f t="shared" si="1"/>
        <v>Feb-24</v>
      </c>
    </row>
    <row r="101" spans="1:7" x14ac:dyDescent="0.3">
      <c r="A101" t="s">
        <v>176</v>
      </c>
      <c r="B101" s="8">
        <v>45342</v>
      </c>
      <c r="C101">
        <v>3</v>
      </c>
      <c r="D101" t="s">
        <v>71</v>
      </c>
      <c r="E101">
        <v>46.2</v>
      </c>
      <c r="F101" t="s">
        <v>77</v>
      </c>
      <c r="G101" t="str">
        <f t="shared" si="1"/>
        <v>Feb-24</v>
      </c>
    </row>
  </sheetData>
  <conditionalFormatting sqref="I1:I18 I20:I1048576">
    <cfRule type="dataBar" priority="3">
      <dataBar>
        <cfvo type="min"/>
        <cfvo type="max"/>
        <color rgb="FF638EC6"/>
      </dataBar>
      <extLst>
        <ext xmlns:x14="http://schemas.microsoft.com/office/spreadsheetml/2009/9/main" uri="{B025F937-C7B1-47D3-B67F-A62EFF666E3E}">
          <x14:id>{1E9E255A-CAE9-42BE-9E7C-1CCAB191A90B}</x14:id>
        </ext>
      </extLst>
    </cfRule>
  </conditionalFormatting>
  <conditionalFormatting sqref="I19">
    <cfRule type="dataBar" priority="1">
      <dataBar>
        <cfvo type="min"/>
        <cfvo type="max"/>
        <color rgb="FF638EC6"/>
      </dataBar>
      <extLst>
        <ext xmlns:x14="http://schemas.microsoft.com/office/spreadsheetml/2009/9/main" uri="{B025F937-C7B1-47D3-B67F-A62EFF666E3E}">
          <x14:id>{CC2F9A50-6CA8-4FFC-B4CF-1F2710F47F0A}</x14:id>
        </ext>
      </extLst>
    </cfRule>
  </conditionalFormatting>
  <conditionalFormatting sqref="O15">
    <cfRule type="dataBar" priority="2">
      <dataBar>
        <cfvo type="min"/>
        <cfvo type="max"/>
        <color rgb="FF638EC6"/>
      </dataBar>
      <extLst>
        <ext xmlns:x14="http://schemas.microsoft.com/office/spreadsheetml/2009/9/main" uri="{B025F937-C7B1-47D3-B67F-A62EFF666E3E}">
          <x14:id>{AD66A944-DD59-47FB-ABA6-F4ADCD0AF7F9}</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E9E255A-CAE9-42BE-9E7C-1CCAB191A90B}">
            <x14:dataBar minLength="0" maxLength="100" border="1" negativeBarBorderColorSameAsPositive="0">
              <x14:cfvo type="autoMin"/>
              <x14:cfvo type="autoMax"/>
              <x14:borderColor rgb="FF638EC6"/>
              <x14:negativeFillColor rgb="FFFF0000"/>
              <x14:negativeBorderColor rgb="FFFF0000"/>
              <x14:axisColor rgb="FF000000"/>
            </x14:dataBar>
          </x14:cfRule>
          <xm:sqref>I1:I18 I20:I1048576</xm:sqref>
        </x14:conditionalFormatting>
        <x14:conditionalFormatting xmlns:xm="http://schemas.microsoft.com/office/excel/2006/main">
          <x14:cfRule type="dataBar" id="{CC2F9A50-6CA8-4FFC-B4CF-1F2710F47F0A}">
            <x14:dataBar minLength="0" maxLength="100" border="1" negativeBarBorderColorSameAsPositive="0">
              <x14:cfvo type="autoMin"/>
              <x14:cfvo type="autoMax"/>
              <x14:borderColor rgb="FF638EC6"/>
              <x14:negativeFillColor rgb="FFFF0000"/>
              <x14:negativeBorderColor rgb="FFFF0000"/>
              <x14:axisColor rgb="FF000000"/>
            </x14:dataBar>
          </x14:cfRule>
          <xm:sqref>I19</xm:sqref>
        </x14:conditionalFormatting>
        <x14:conditionalFormatting xmlns:xm="http://schemas.microsoft.com/office/excel/2006/main">
          <x14:cfRule type="dataBar" id="{AD66A944-DD59-47FB-ABA6-F4ADCD0AF7F9}">
            <x14:dataBar minLength="0" maxLength="100" gradient="0">
              <x14:cfvo type="autoMin"/>
              <x14:cfvo type="autoMax"/>
              <x14:negativeFillColor rgb="FFFF0000"/>
              <x14:axisColor rgb="FF000000"/>
            </x14:dataBar>
          </x14:cfRule>
          <xm:sqref>O15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D36CD-7EBC-4DDA-8A41-3441CE4D9CBB}">
  <dimension ref="R14:W19"/>
  <sheetViews>
    <sheetView showGridLines="0" workbookViewId="0">
      <selection activeCell="W10" sqref="W10"/>
    </sheetView>
  </sheetViews>
  <sheetFormatPr defaultRowHeight="14.4" x14ac:dyDescent="0.3"/>
  <cols>
    <col min="1" max="1" width="5.109375" style="27" customWidth="1"/>
    <col min="2" max="2" width="7.44140625" style="27" customWidth="1"/>
    <col min="3" max="22" width="8.88671875" style="27"/>
    <col min="23" max="23" width="7.77734375" style="27" customWidth="1"/>
    <col min="24" max="16384" width="8.88671875" style="27"/>
  </cols>
  <sheetData>
    <row r="14" spans="18:23" x14ac:dyDescent="0.3">
      <c r="R14" s="27" t="s">
        <v>181</v>
      </c>
      <c r="S14" s="27" t="s">
        <v>74</v>
      </c>
      <c r="T14" s="27" t="s">
        <v>76</v>
      </c>
      <c r="U14" s="27" t="s">
        <v>79</v>
      </c>
      <c r="V14" s="27" t="s">
        <v>71</v>
      </c>
      <c r="W14" s="27" t="s">
        <v>94</v>
      </c>
    </row>
    <row r="15" spans="18:23" x14ac:dyDescent="0.3">
      <c r="R15" s="27">
        <v>1</v>
      </c>
      <c r="S15" s="27">
        <v>5</v>
      </c>
      <c r="T15" s="27">
        <v>5</v>
      </c>
      <c r="U15" s="27">
        <v>3</v>
      </c>
      <c r="V15" s="27">
        <v>4</v>
      </c>
      <c r="W15" s="27">
        <v>5</v>
      </c>
    </row>
    <row r="16" spans="18:23" x14ac:dyDescent="0.3">
      <c r="R16" s="27">
        <v>2</v>
      </c>
      <c r="S16" s="27">
        <v>4</v>
      </c>
      <c r="T16" s="27">
        <v>3</v>
      </c>
      <c r="U16" s="27">
        <v>2</v>
      </c>
      <c r="V16" s="27">
        <v>3</v>
      </c>
      <c r="W16" s="27">
        <v>4</v>
      </c>
    </row>
    <row r="17" spans="18:23" x14ac:dyDescent="0.3">
      <c r="R17" s="27">
        <v>3</v>
      </c>
      <c r="S17" s="27">
        <v>4</v>
      </c>
      <c r="T17" s="27">
        <v>3</v>
      </c>
      <c r="U17" s="27">
        <v>6</v>
      </c>
      <c r="V17" s="27">
        <v>4</v>
      </c>
      <c r="W17" s="27">
        <v>2</v>
      </c>
    </row>
    <row r="18" spans="18:23" x14ac:dyDescent="0.3">
      <c r="R18" s="27">
        <v>4</v>
      </c>
      <c r="S18" s="27">
        <v>6</v>
      </c>
      <c r="T18" s="27">
        <v>3</v>
      </c>
      <c r="U18" s="27">
        <v>5</v>
      </c>
      <c r="V18" s="27">
        <v>3</v>
      </c>
      <c r="W18" s="27">
        <v>3</v>
      </c>
    </row>
    <row r="19" spans="18:23" x14ac:dyDescent="0.3">
      <c r="R19" s="27">
        <v>5</v>
      </c>
      <c r="S19" s="27">
        <v>3</v>
      </c>
      <c r="T19" s="27">
        <v>5</v>
      </c>
      <c r="U19" s="27">
        <v>8</v>
      </c>
      <c r="V19" s="27">
        <v>3</v>
      </c>
      <c r="W19" s="27">
        <v>4</v>
      </c>
    </row>
  </sheetData>
  <conditionalFormatting sqref="R14:W19">
    <cfRule type="colorScale" priority="1">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7DC87-1DEE-430C-9F1C-367258DFEF36}">
  <dimension ref="A1:C6"/>
  <sheetViews>
    <sheetView workbookViewId="0">
      <selection activeCell="P12" sqref="P12"/>
    </sheetView>
  </sheetViews>
  <sheetFormatPr defaultRowHeight="14.4" x14ac:dyDescent="0.3"/>
  <sheetData>
    <row r="1" spans="1:3" x14ac:dyDescent="0.3">
      <c r="A1" t="s">
        <v>181</v>
      </c>
      <c r="B1" t="s">
        <v>182</v>
      </c>
      <c r="C1" t="s">
        <v>183</v>
      </c>
    </row>
    <row r="2" spans="1:3" x14ac:dyDescent="0.3">
      <c r="A2">
        <v>1</v>
      </c>
      <c r="B2">
        <f>COUNTIF(dataset!C:C,1)</f>
        <v>22</v>
      </c>
      <c r="C2">
        <f>B2/100*100</f>
        <v>22</v>
      </c>
    </row>
    <row r="3" spans="1:3" x14ac:dyDescent="0.3">
      <c r="A3">
        <v>2</v>
      </c>
      <c r="B3">
        <f>COUNTIF(dataset!C:C,2)</f>
        <v>16</v>
      </c>
      <c r="C3">
        <f>B3/100*100</f>
        <v>16</v>
      </c>
    </row>
    <row r="4" spans="1:3" x14ac:dyDescent="0.3">
      <c r="A4">
        <v>3</v>
      </c>
      <c r="B4">
        <f>COUNTIF(dataset!C:C,3)</f>
        <v>19</v>
      </c>
      <c r="C4">
        <f t="shared" ref="C4:C6" si="0">B4/100*100</f>
        <v>19</v>
      </c>
    </row>
    <row r="5" spans="1:3" x14ac:dyDescent="0.3">
      <c r="A5">
        <v>4</v>
      </c>
      <c r="B5">
        <f>COUNTIF(dataset!C:C,4)</f>
        <v>20</v>
      </c>
      <c r="C5">
        <f t="shared" si="0"/>
        <v>20</v>
      </c>
    </row>
    <row r="6" spans="1:3" x14ac:dyDescent="0.3">
      <c r="A6">
        <v>5</v>
      </c>
      <c r="B6">
        <f>COUNTIF(dataset!C:C,5)</f>
        <v>23</v>
      </c>
      <c r="C6">
        <f t="shared" si="0"/>
        <v>23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238FC-163D-4DBC-AC6B-75C48AFFDC8A}">
  <dimension ref="A1:G9"/>
  <sheetViews>
    <sheetView tabSelected="1" workbookViewId="0">
      <selection activeCell="E8" sqref="E8"/>
    </sheetView>
  </sheetViews>
  <sheetFormatPr defaultRowHeight="14.4" x14ac:dyDescent="0.3"/>
  <cols>
    <col min="1" max="1" width="43.77734375" customWidth="1"/>
    <col min="6" max="6" width="16" customWidth="1"/>
  </cols>
  <sheetData>
    <row r="1" spans="1:7" x14ac:dyDescent="0.3">
      <c r="A1" t="s">
        <v>6</v>
      </c>
      <c r="B1">
        <f>AVEDEV(dataset!C2:C101)</f>
        <v>1.2684000000000004</v>
      </c>
      <c r="F1" s="12" t="s">
        <v>193</v>
      </c>
      <c r="G1" s="12" t="s">
        <v>186</v>
      </c>
    </row>
    <row r="2" spans="1:7" x14ac:dyDescent="0.3">
      <c r="F2" s="13" t="s">
        <v>190</v>
      </c>
      <c r="G2" s="13">
        <v>5</v>
      </c>
    </row>
    <row r="3" spans="1:7" ht="16.8" customHeight="1" x14ac:dyDescent="0.3">
      <c r="A3" t="s">
        <v>7</v>
      </c>
      <c r="B3">
        <f>Calculation!C2</f>
        <v>5</v>
      </c>
      <c r="F3" s="13" t="s">
        <v>194</v>
      </c>
      <c r="G3" s="13">
        <v>95</v>
      </c>
    </row>
    <row r="4" spans="1:7" ht="13.2" customHeight="1" x14ac:dyDescent="0.3">
      <c r="F4" s="13" t="s">
        <v>195</v>
      </c>
      <c r="G4" s="13">
        <v>100</v>
      </c>
    </row>
    <row r="5" spans="1:7" x14ac:dyDescent="0.3">
      <c r="A5" t="s">
        <v>8</v>
      </c>
      <c r="B5">
        <v>80</v>
      </c>
    </row>
    <row r="7" spans="1:7" x14ac:dyDescent="0.3">
      <c r="A7" t="s">
        <v>9</v>
      </c>
      <c r="B7">
        <f>AVERAGE(dataset!E2:E101)</f>
        <v>38.125000000000007</v>
      </c>
    </row>
    <row r="9" spans="1:7" x14ac:dyDescent="0.3">
      <c r="A9" t="s">
        <v>10</v>
      </c>
      <c r="B9">
        <v>100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439B6-41E4-40B9-8B11-40247933DD90}">
  <dimension ref="A1:D2"/>
  <sheetViews>
    <sheetView workbookViewId="0">
      <selection activeCell="D2" sqref="D2"/>
    </sheetView>
  </sheetViews>
  <sheetFormatPr defaultRowHeight="14.4" x14ac:dyDescent="0.3"/>
  <cols>
    <col min="1" max="1" width="12.5546875" bestFit="1" customWidth="1"/>
    <col min="2" max="2" width="20.77734375" bestFit="1" customWidth="1"/>
    <col min="3" max="3" width="22.6640625" bestFit="1" customWidth="1"/>
    <col min="4" max="4" width="10.88671875" bestFit="1" customWidth="1"/>
  </cols>
  <sheetData>
    <row r="1" spans="1:4" x14ac:dyDescent="0.3">
      <c r="A1" s="23" t="s">
        <v>200</v>
      </c>
      <c r="B1" t="s">
        <v>204</v>
      </c>
      <c r="C1" t="s">
        <v>202</v>
      </c>
      <c r="D1" t="s">
        <v>205</v>
      </c>
    </row>
    <row r="2" spans="1:4" x14ac:dyDescent="0.3">
      <c r="A2" s="24" t="s">
        <v>201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53236-95E8-473C-9F8F-B3FFBA194669}">
  <dimension ref="A1:C11"/>
  <sheetViews>
    <sheetView workbookViewId="0">
      <selection activeCell="D3" sqref="D3"/>
    </sheetView>
  </sheetViews>
  <sheetFormatPr defaultRowHeight="14.4" x14ac:dyDescent="0.3"/>
  <cols>
    <col min="1" max="1" width="26.6640625" customWidth="1"/>
    <col min="2" max="2" width="10.5546875" customWidth="1"/>
    <col min="3" max="3" width="12.5546875" customWidth="1"/>
    <col min="4" max="4" width="17.77734375" customWidth="1"/>
  </cols>
  <sheetData>
    <row r="1" spans="1:3" x14ac:dyDescent="0.3">
      <c r="A1" t="s">
        <v>177</v>
      </c>
      <c r="B1" t="s">
        <v>178</v>
      </c>
      <c r="C1" t="s">
        <v>179</v>
      </c>
    </row>
    <row r="2" spans="1:3" x14ac:dyDescent="0.3">
      <c r="A2">
        <f>COUNTIF(dataset!C2:C101,"&gt;=4")</f>
        <v>43</v>
      </c>
      <c r="B2">
        <f>COUNTIF(dataset!C2:C101,"&lt;=2")</f>
        <v>38</v>
      </c>
      <c r="C2">
        <f>(A2-B2)/100*100</f>
        <v>5</v>
      </c>
    </row>
    <row r="5" spans="1:3" x14ac:dyDescent="0.3">
      <c r="A5" s="10" t="s">
        <v>185</v>
      </c>
      <c r="B5" s="10" t="s">
        <v>186</v>
      </c>
    </row>
    <row r="6" spans="1:3" x14ac:dyDescent="0.3">
      <c r="A6" s="11" t="s">
        <v>187</v>
      </c>
      <c r="B6" s="11">
        <v>33</v>
      </c>
    </row>
    <row r="7" spans="1:3" ht="28.8" x14ac:dyDescent="0.3">
      <c r="A7" s="11" t="s">
        <v>188</v>
      </c>
      <c r="B7" s="11">
        <v>34</v>
      </c>
    </row>
    <row r="8" spans="1:3" ht="28.8" x14ac:dyDescent="0.3">
      <c r="A8" s="11" t="s">
        <v>189</v>
      </c>
      <c r="B8" s="11">
        <v>33</v>
      </c>
    </row>
    <row r="9" spans="1:3" x14ac:dyDescent="0.3">
      <c r="A9" s="11" t="s">
        <v>190</v>
      </c>
      <c r="B9" s="11">
        <v>5</v>
      </c>
    </row>
    <row r="10" spans="1:3" ht="28.8" x14ac:dyDescent="0.3">
      <c r="A10" s="11" t="s">
        <v>191</v>
      </c>
      <c r="B10" s="11">
        <v>95</v>
      </c>
    </row>
    <row r="11" spans="1:3" ht="28.8" x14ac:dyDescent="0.3">
      <c r="A11" s="11" t="s">
        <v>192</v>
      </c>
      <c r="B11" s="11">
        <v>100</v>
      </c>
    </row>
  </sheetData>
  <conditionalFormatting sqref="C1">
    <cfRule type="dataBar" priority="1">
      <dataBar>
        <cfvo type="min"/>
        <cfvo type="max"/>
        <color rgb="FF638EC6"/>
      </dataBar>
      <extLst>
        <ext xmlns:x14="http://schemas.microsoft.com/office/spreadsheetml/2009/9/main" uri="{B025F937-C7B1-47D3-B67F-A62EFF666E3E}">
          <x14:id>{5C9C30D5-506D-4C9F-84A2-65BA8C773C18}</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5C9C30D5-506D-4C9F-84A2-65BA8C773C18}">
            <x14:dataBar minLength="0" maxLength="100" border="1" negativeBarBorderColorSameAsPositive="0">
              <x14:cfvo type="autoMin"/>
              <x14:cfvo type="autoMax"/>
              <x14:borderColor rgb="FF638EC6"/>
              <x14:negativeFillColor rgb="FFFF0000"/>
              <x14:negativeBorderColor rgb="FFFF0000"/>
              <x14:axisColor rgb="FF000000"/>
            </x14:dataBar>
          </x14:cfRule>
          <xm:sqref>C1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Feedback Category</vt:lpstr>
      <vt:lpstr>Questions</vt:lpstr>
      <vt:lpstr>filtering system</vt:lpstr>
      <vt:lpstr>Response Time Charts</vt:lpstr>
      <vt:lpstr>Resolution Rate Analysis</vt:lpstr>
      <vt:lpstr>Cross-Analysis Charts</vt:lpstr>
      <vt:lpstr>dataset</vt:lpstr>
      <vt:lpstr>Dashboard</vt:lpstr>
      <vt:lpstr>servive rating distribution</vt:lpstr>
      <vt:lpstr>KPI</vt:lpstr>
      <vt:lpstr>Time Trend Analysis</vt:lpstr>
      <vt:lpstr>Calculation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A B</dc:creator>
  <cp:lastModifiedBy>Anagha A B</cp:lastModifiedBy>
  <dcterms:created xsi:type="dcterms:W3CDTF">2026-06-09T17:15:15Z</dcterms:created>
  <dcterms:modified xsi:type="dcterms:W3CDTF">2026-06-17T05:30:21Z</dcterms:modified>
</cp:coreProperties>
</file>